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19084\Desktop\주택매입기준팀\비주택\약정방식\공고\최종(2026.07.14.)\"/>
    </mc:Choice>
  </mc:AlternateContent>
  <xr:revisionPtr revIDLastSave="0" documentId="13_ncr:1_{B250276C-E8A5-41D6-966B-D416482ABE2C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1. 호별 면적표" sheetId="6" r:id="rId1"/>
    <sheet name="2. 타입별 면적표" sheetId="1" r:id="rId2"/>
    <sheet name="3. 근생 면적표" sheetId="7" r:id="rId3"/>
  </sheets>
  <definedNames>
    <definedName name="_xlnm.Print_Titles" localSheetId="0">'1. 호별 면적표'!#REF!</definedName>
    <definedName name="_xlnm.Print_Titles" localSheetId="1">'2. 타입별 면적표'!#REF!</definedName>
    <definedName name="_xlnm.Print_Titles" localSheetId="2">'3. 근생 면적표'!#REF!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04" i="6" l="1"/>
  <c r="O11" i="7"/>
  <c r="O10" i="7"/>
  <c r="Q11" i="1"/>
  <c r="Q12" i="1"/>
  <c r="Q13" i="1"/>
  <c r="Q14" i="1"/>
  <c r="Q15" i="1"/>
  <c r="Q16" i="1"/>
  <c r="Q17" i="1"/>
  <c r="Q10" i="1"/>
  <c r="C16" i="7" l="1"/>
  <c r="D26" i="1" s="1"/>
  <c r="N104" i="6" l="1"/>
  <c r="O15" i="7" l="1"/>
  <c r="H15" i="7"/>
  <c r="I15" i="7" s="1"/>
  <c r="P15" i="7" s="1"/>
  <c r="R15" i="7" s="1"/>
  <c r="O14" i="7"/>
  <c r="H14" i="7"/>
  <c r="I14" i="7" s="1"/>
  <c r="P14" i="7" s="1"/>
  <c r="R14" i="7" s="1"/>
  <c r="O13" i="7"/>
  <c r="H13" i="7"/>
  <c r="I13" i="7" s="1"/>
  <c r="P13" i="7" s="1"/>
  <c r="R13" i="7" s="1"/>
  <c r="O12" i="7"/>
  <c r="H12" i="7"/>
  <c r="I12" i="7" s="1"/>
  <c r="H11" i="7"/>
  <c r="I11" i="7" s="1"/>
  <c r="H10" i="7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F104" i="6"/>
  <c r="G104" i="6"/>
  <c r="H104" i="6"/>
  <c r="I104" i="6"/>
  <c r="L104" i="6"/>
  <c r="M104" i="6"/>
  <c r="O104" i="6"/>
  <c r="P104" i="6"/>
  <c r="E104" i="6"/>
  <c r="D25" i="1" s="1"/>
  <c r="J67" i="6"/>
  <c r="K67" i="6" s="1"/>
  <c r="J68" i="6"/>
  <c r="K68" i="6" s="1"/>
  <c r="R68" i="6" s="1"/>
  <c r="T68" i="6" s="1"/>
  <c r="J69" i="6"/>
  <c r="K69" i="6" s="1"/>
  <c r="R69" i="6" s="1"/>
  <c r="T69" i="6" s="1"/>
  <c r="J70" i="6"/>
  <c r="K70" i="6" s="1"/>
  <c r="R70" i="6" s="1"/>
  <c r="T70" i="6" s="1"/>
  <c r="J71" i="6"/>
  <c r="K71" i="6" s="1"/>
  <c r="R71" i="6" s="1"/>
  <c r="T71" i="6" s="1"/>
  <c r="J72" i="6"/>
  <c r="K72" i="6" s="1"/>
  <c r="J73" i="6"/>
  <c r="K73" i="6" s="1"/>
  <c r="J74" i="6"/>
  <c r="K74" i="6" s="1"/>
  <c r="R74" i="6" s="1"/>
  <c r="T74" i="6" s="1"/>
  <c r="J75" i="6"/>
  <c r="K75" i="6" s="1"/>
  <c r="R75" i="6" s="1"/>
  <c r="T75" i="6" s="1"/>
  <c r="J76" i="6"/>
  <c r="K76" i="6" s="1"/>
  <c r="R76" i="6" s="1"/>
  <c r="T76" i="6" s="1"/>
  <c r="J77" i="6"/>
  <c r="K77" i="6" s="1"/>
  <c r="R77" i="6" s="1"/>
  <c r="T77" i="6" s="1"/>
  <c r="J78" i="6"/>
  <c r="K78" i="6" s="1"/>
  <c r="J79" i="6"/>
  <c r="K79" i="6" s="1"/>
  <c r="J80" i="6"/>
  <c r="K80" i="6" s="1"/>
  <c r="R80" i="6" s="1"/>
  <c r="T80" i="6" s="1"/>
  <c r="J81" i="6"/>
  <c r="K81" i="6" s="1"/>
  <c r="R81" i="6" s="1"/>
  <c r="T81" i="6" s="1"/>
  <c r="J82" i="6"/>
  <c r="K82" i="6" s="1"/>
  <c r="R82" i="6" s="1"/>
  <c r="T82" i="6" s="1"/>
  <c r="J83" i="6"/>
  <c r="K83" i="6" s="1"/>
  <c r="R83" i="6" s="1"/>
  <c r="T83" i="6" s="1"/>
  <c r="J84" i="6"/>
  <c r="K84" i="6" s="1"/>
  <c r="J85" i="6"/>
  <c r="K85" i="6" s="1"/>
  <c r="J86" i="6"/>
  <c r="K86" i="6" s="1"/>
  <c r="R86" i="6" s="1"/>
  <c r="T86" i="6" s="1"/>
  <c r="J87" i="6"/>
  <c r="K87" i="6" s="1"/>
  <c r="R87" i="6" s="1"/>
  <c r="T87" i="6" s="1"/>
  <c r="J88" i="6"/>
  <c r="K88" i="6" s="1"/>
  <c r="R88" i="6" s="1"/>
  <c r="T88" i="6" s="1"/>
  <c r="J89" i="6"/>
  <c r="K89" i="6" s="1"/>
  <c r="R89" i="6" s="1"/>
  <c r="T89" i="6" s="1"/>
  <c r="J90" i="6"/>
  <c r="K90" i="6" s="1"/>
  <c r="J91" i="6"/>
  <c r="K91" i="6" s="1"/>
  <c r="J92" i="6"/>
  <c r="K92" i="6" s="1"/>
  <c r="R92" i="6" s="1"/>
  <c r="T92" i="6" s="1"/>
  <c r="J93" i="6"/>
  <c r="K93" i="6" s="1"/>
  <c r="R93" i="6" s="1"/>
  <c r="T93" i="6" s="1"/>
  <c r="J94" i="6"/>
  <c r="K94" i="6" s="1"/>
  <c r="R94" i="6" s="1"/>
  <c r="T94" i="6" s="1"/>
  <c r="J95" i="6"/>
  <c r="K95" i="6" s="1"/>
  <c r="R95" i="6" s="1"/>
  <c r="T95" i="6" s="1"/>
  <c r="J96" i="6"/>
  <c r="K96" i="6" s="1"/>
  <c r="J97" i="6"/>
  <c r="K97" i="6" s="1"/>
  <c r="J98" i="6"/>
  <c r="K98" i="6" s="1"/>
  <c r="R98" i="6" s="1"/>
  <c r="T98" i="6" s="1"/>
  <c r="J99" i="6"/>
  <c r="K99" i="6" s="1"/>
  <c r="R99" i="6" s="1"/>
  <c r="T99" i="6" s="1"/>
  <c r="J100" i="6"/>
  <c r="K100" i="6" s="1"/>
  <c r="R100" i="6" s="1"/>
  <c r="T100" i="6" s="1"/>
  <c r="J101" i="6"/>
  <c r="K101" i="6" s="1"/>
  <c r="R101" i="6" s="1"/>
  <c r="T101" i="6" s="1"/>
  <c r="J102" i="6"/>
  <c r="K102" i="6" s="1"/>
  <c r="J103" i="6"/>
  <c r="K103" i="6" s="1"/>
  <c r="J53" i="6"/>
  <c r="K53" i="6" s="1"/>
  <c r="R53" i="6" s="1"/>
  <c r="T53" i="6" s="1"/>
  <c r="J54" i="6"/>
  <c r="K54" i="6" s="1"/>
  <c r="R54" i="6" s="1"/>
  <c r="T54" i="6" s="1"/>
  <c r="J55" i="6"/>
  <c r="K55" i="6" s="1"/>
  <c r="R55" i="6" s="1"/>
  <c r="T55" i="6" s="1"/>
  <c r="J56" i="6"/>
  <c r="K56" i="6" s="1"/>
  <c r="R56" i="6" s="1"/>
  <c r="T56" i="6" s="1"/>
  <c r="J57" i="6"/>
  <c r="K57" i="6" s="1"/>
  <c r="R57" i="6" s="1"/>
  <c r="T57" i="6" s="1"/>
  <c r="J58" i="6"/>
  <c r="K58" i="6" s="1"/>
  <c r="R58" i="6" s="1"/>
  <c r="T58" i="6" s="1"/>
  <c r="J59" i="6"/>
  <c r="K59" i="6" s="1"/>
  <c r="R59" i="6" s="1"/>
  <c r="T59" i="6" s="1"/>
  <c r="J60" i="6"/>
  <c r="K60" i="6" s="1"/>
  <c r="R60" i="6" s="1"/>
  <c r="T60" i="6" s="1"/>
  <c r="J61" i="6"/>
  <c r="K61" i="6" s="1"/>
  <c r="R61" i="6" s="1"/>
  <c r="T61" i="6" s="1"/>
  <c r="J62" i="6"/>
  <c r="K62" i="6" s="1"/>
  <c r="R62" i="6" s="1"/>
  <c r="T62" i="6" s="1"/>
  <c r="J63" i="6"/>
  <c r="K63" i="6" s="1"/>
  <c r="R63" i="6" s="1"/>
  <c r="T63" i="6" s="1"/>
  <c r="J64" i="6"/>
  <c r="K64" i="6" s="1"/>
  <c r="R64" i="6" s="1"/>
  <c r="T64" i="6" s="1"/>
  <c r="J65" i="6"/>
  <c r="K65" i="6" s="1"/>
  <c r="R65" i="6" s="1"/>
  <c r="T65" i="6" s="1"/>
  <c r="J66" i="6"/>
  <c r="K66" i="6" s="1"/>
  <c r="J42" i="6"/>
  <c r="K42" i="6" s="1"/>
  <c r="R42" i="6" s="1"/>
  <c r="T42" i="6" s="1"/>
  <c r="J43" i="6"/>
  <c r="K43" i="6" s="1"/>
  <c r="R43" i="6" s="1"/>
  <c r="T43" i="6" s="1"/>
  <c r="J44" i="6"/>
  <c r="K44" i="6" s="1"/>
  <c r="R44" i="6" s="1"/>
  <c r="T44" i="6" s="1"/>
  <c r="J45" i="6"/>
  <c r="K45" i="6" s="1"/>
  <c r="R45" i="6" s="1"/>
  <c r="T45" i="6" s="1"/>
  <c r="J46" i="6"/>
  <c r="K46" i="6" s="1"/>
  <c r="R46" i="6" s="1"/>
  <c r="T46" i="6" s="1"/>
  <c r="J47" i="6"/>
  <c r="K47" i="6" s="1"/>
  <c r="J48" i="6"/>
  <c r="K48" i="6" s="1"/>
  <c r="R48" i="6" s="1"/>
  <c r="T48" i="6" s="1"/>
  <c r="J49" i="6"/>
  <c r="K49" i="6" s="1"/>
  <c r="R49" i="6" s="1"/>
  <c r="T49" i="6" s="1"/>
  <c r="J50" i="6"/>
  <c r="K50" i="6" s="1"/>
  <c r="R50" i="6" s="1"/>
  <c r="T50" i="6" s="1"/>
  <c r="J51" i="6"/>
  <c r="K51" i="6" s="1"/>
  <c r="R51" i="6" s="1"/>
  <c r="T51" i="6" s="1"/>
  <c r="J52" i="6"/>
  <c r="K52" i="6" s="1"/>
  <c r="R52" i="6" s="1"/>
  <c r="T52" i="6" s="1"/>
  <c r="J31" i="6"/>
  <c r="K31" i="6" s="1"/>
  <c r="R31" i="6" s="1"/>
  <c r="T31" i="6" s="1"/>
  <c r="J32" i="6"/>
  <c r="K32" i="6" s="1"/>
  <c r="R32" i="6" s="1"/>
  <c r="T32" i="6" s="1"/>
  <c r="J33" i="6"/>
  <c r="K33" i="6" s="1"/>
  <c r="R33" i="6" s="1"/>
  <c r="T33" i="6" s="1"/>
  <c r="J34" i="6"/>
  <c r="K34" i="6" s="1"/>
  <c r="J35" i="6"/>
  <c r="K35" i="6" s="1"/>
  <c r="J36" i="6"/>
  <c r="K36" i="6" s="1"/>
  <c r="R36" i="6" s="1"/>
  <c r="T36" i="6" s="1"/>
  <c r="J37" i="6"/>
  <c r="K37" i="6" s="1"/>
  <c r="R37" i="6" s="1"/>
  <c r="T37" i="6" s="1"/>
  <c r="J38" i="6"/>
  <c r="K38" i="6" s="1"/>
  <c r="R38" i="6" s="1"/>
  <c r="T38" i="6" s="1"/>
  <c r="J39" i="6"/>
  <c r="K39" i="6" s="1"/>
  <c r="R39" i="6" s="1"/>
  <c r="T39" i="6" s="1"/>
  <c r="J40" i="6"/>
  <c r="K40" i="6" s="1"/>
  <c r="J41" i="6"/>
  <c r="K41" i="6" s="1"/>
  <c r="J24" i="6"/>
  <c r="K24" i="6" s="1"/>
  <c r="R24" i="6" s="1"/>
  <c r="T24" i="6" s="1"/>
  <c r="J25" i="6"/>
  <c r="K25" i="6" s="1"/>
  <c r="R25" i="6" s="1"/>
  <c r="T25" i="6" s="1"/>
  <c r="J26" i="6"/>
  <c r="K26" i="6" s="1"/>
  <c r="R26" i="6" s="1"/>
  <c r="T26" i="6" s="1"/>
  <c r="J27" i="6"/>
  <c r="K27" i="6" s="1"/>
  <c r="R27" i="6" s="1"/>
  <c r="T27" i="6" s="1"/>
  <c r="J28" i="6"/>
  <c r="K28" i="6" s="1"/>
  <c r="J29" i="6"/>
  <c r="K29" i="6" s="1"/>
  <c r="J30" i="6"/>
  <c r="K30" i="6" s="1"/>
  <c r="R30" i="6" s="1"/>
  <c r="T30" i="6" s="1"/>
  <c r="J11" i="6"/>
  <c r="K11" i="6" s="1"/>
  <c r="R11" i="6" s="1"/>
  <c r="T11" i="6" s="1"/>
  <c r="J12" i="6"/>
  <c r="K12" i="6" s="1"/>
  <c r="R12" i="6" s="1"/>
  <c r="T12" i="6" s="1"/>
  <c r="J13" i="6"/>
  <c r="K13" i="6" s="1"/>
  <c r="R13" i="6" s="1"/>
  <c r="T13" i="6" s="1"/>
  <c r="J14" i="6"/>
  <c r="K14" i="6" s="1"/>
  <c r="R14" i="6" s="1"/>
  <c r="J15" i="6"/>
  <c r="K15" i="6" s="1"/>
  <c r="R15" i="6" s="1"/>
  <c r="T15" i="6" s="1"/>
  <c r="J16" i="6"/>
  <c r="K16" i="6" s="1"/>
  <c r="R16" i="6" s="1"/>
  <c r="T16" i="6" s="1"/>
  <c r="J17" i="6"/>
  <c r="K17" i="6" s="1"/>
  <c r="R17" i="6" s="1"/>
  <c r="T17" i="6" s="1"/>
  <c r="J18" i="6"/>
  <c r="K18" i="6" s="1"/>
  <c r="R18" i="6" s="1"/>
  <c r="T18" i="6" s="1"/>
  <c r="J19" i="6"/>
  <c r="K19" i="6" s="1"/>
  <c r="R19" i="6" s="1"/>
  <c r="T19" i="6" s="1"/>
  <c r="J20" i="6"/>
  <c r="K20" i="6" s="1"/>
  <c r="R20" i="6" s="1"/>
  <c r="T20" i="6" s="1"/>
  <c r="J21" i="6"/>
  <c r="K21" i="6" s="1"/>
  <c r="R21" i="6" s="1"/>
  <c r="T21" i="6" s="1"/>
  <c r="J22" i="6"/>
  <c r="K22" i="6" s="1"/>
  <c r="R22" i="6" s="1"/>
  <c r="T22" i="6" s="1"/>
  <c r="J23" i="6"/>
  <c r="K23" i="6" s="1"/>
  <c r="R23" i="6" s="1"/>
  <c r="T23" i="6" s="1"/>
  <c r="R29" i="6" l="1"/>
  <c r="T29" i="6" s="1"/>
  <c r="R91" i="6"/>
  <c r="T91" i="6" s="1"/>
  <c r="R67" i="6"/>
  <c r="T67" i="6" s="1"/>
  <c r="T14" i="6"/>
  <c r="R40" i="6"/>
  <c r="T40" i="6" s="1"/>
  <c r="R34" i="6"/>
  <c r="T34" i="6" s="1"/>
  <c r="R102" i="6"/>
  <c r="T102" i="6" s="1"/>
  <c r="R96" i="6"/>
  <c r="T96" i="6" s="1"/>
  <c r="R90" i="6"/>
  <c r="T90" i="6" s="1"/>
  <c r="R84" i="6"/>
  <c r="T84" i="6" s="1"/>
  <c r="R78" i="6"/>
  <c r="T78" i="6" s="1"/>
  <c r="R72" i="6"/>
  <c r="T72" i="6" s="1"/>
  <c r="R41" i="6"/>
  <c r="T41" i="6" s="1"/>
  <c r="R79" i="6"/>
  <c r="T79" i="6" s="1"/>
  <c r="R103" i="6"/>
  <c r="T103" i="6" s="1"/>
  <c r="R85" i="6"/>
  <c r="T85" i="6" s="1"/>
  <c r="R28" i="6"/>
  <c r="T28" i="6" s="1"/>
  <c r="R35" i="6"/>
  <c r="T35" i="6" s="1"/>
  <c r="R97" i="6"/>
  <c r="T97" i="6" s="1"/>
  <c r="R73" i="6"/>
  <c r="T73" i="6" s="1"/>
  <c r="R47" i="6"/>
  <c r="T47" i="6" s="1"/>
  <c r="R66" i="6"/>
  <c r="T66" i="6" s="1"/>
  <c r="D27" i="1"/>
  <c r="E26" i="1" s="1"/>
  <c r="I10" i="7"/>
  <c r="R12" i="7"/>
  <c r="R11" i="7"/>
  <c r="E25" i="1" l="1"/>
  <c r="F25" i="1" s="1"/>
  <c r="F26" i="1" s="1"/>
  <c r="E27" i="1"/>
  <c r="R10" i="7"/>
  <c r="Q10" i="6"/>
  <c r="Q104" i="6" s="1"/>
  <c r="J10" i="6"/>
  <c r="K10" i="6" l="1"/>
  <c r="R10" i="6" s="1"/>
  <c r="J104" i="6"/>
  <c r="T10" i="6" l="1"/>
  <c r="R104" i="6"/>
  <c r="T104" i="6"/>
  <c r="K104" i="6"/>
  <c r="C18" i="1" l="1"/>
  <c r="J17" i="1"/>
  <c r="K17" i="1" s="1"/>
  <c r="R17" i="1" s="1"/>
  <c r="T17" i="1" s="1"/>
  <c r="J16" i="1"/>
  <c r="K16" i="1" s="1"/>
  <c r="R16" i="1" s="1"/>
  <c r="T16" i="1" s="1"/>
  <c r="J15" i="1"/>
  <c r="K15" i="1" s="1"/>
  <c r="R15" i="1" s="1"/>
  <c r="T15" i="1" s="1"/>
  <c r="J14" i="1"/>
  <c r="K14" i="1" s="1"/>
  <c r="R14" i="1" s="1"/>
  <c r="T14" i="1" s="1"/>
  <c r="J13" i="1"/>
  <c r="K13" i="1" s="1"/>
  <c r="R13" i="1" s="1"/>
  <c r="T13" i="1" s="1"/>
  <c r="J12" i="1"/>
  <c r="K12" i="1" s="1"/>
  <c r="R12" i="1" s="1"/>
  <c r="T12" i="1" s="1"/>
  <c r="J11" i="1"/>
  <c r="K11" i="1" s="1"/>
  <c r="R11" i="1" s="1"/>
  <c r="T11" i="1" s="1"/>
  <c r="J10" i="1"/>
  <c r="K10" i="1" s="1"/>
  <c r="R10" i="1" s="1"/>
  <c r="T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허수영</author>
  </authors>
  <commentList>
    <comment ref="H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공용면적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세대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현관</t>
        </r>
        <r>
          <rPr>
            <b/>
            <sz val="9"/>
            <color indexed="81"/>
            <rFont val="Tahoma"/>
            <family val="2"/>
          </rPr>
          <t>(1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공동현관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지상층에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공용면적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서비스면적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8" authorId="0" shapeId="0" xr:uid="{00000000-0006-0000-0100-000002000000}">
      <text>
        <r>
          <rPr>
            <b/>
            <sz val="9"/>
            <color indexed="81"/>
            <rFont val="돋움"/>
            <family val="3"/>
            <charset val="129"/>
          </rPr>
          <t>ㅇ 주차장 : 건물 내 지상주차장 및 지하주차장 면적 기재
(* 연면적(바닥면적)제외 대상인 필로티 주차장 등 면적은 제외)</t>
        </r>
      </text>
    </comment>
    <comment ref="U8" authorId="0" shapeId="0" xr:uid="{00000000-0006-0000-0100-000003000000}">
      <text>
        <r>
          <rPr>
            <b/>
            <sz val="9"/>
            <color indexed="81"/>
            <rFont val="돋움"/>
            <family val="3"/>
            <charset val="129"/>
          </rPr>
          <t>빌트인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 xml:space="preserve">:
</t>
        </r>
        <r>
          <rPr>
            <b/>
            <sz val="9"/>
            <color indexed="81"/>
            <rFont val="돋움"/>
            <family val="3"/>
            <charset val="129"/>
          </rPr>
          <t>냉장고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전자레인지</t>
        </r>
        <r>
          <rPr>
            <b/>
            <sz val="9"/>
            <color indexed="81"/>
            <rFont val="Tahoma"/>
            <family val="2"/>
          </rPr>
          <t xml:space="preserve">,  </t>
        </r>
        <r>
          <rPr>
            <b/>
            <sz val="9"/>
            <color indexed="81"/>
            <rFont val="돋움"/>
            <family val="3"/>
            <charset val="129"/>
          </rPr>
          <t>세탁기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에어컨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가스레인지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전기인덕션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박소민</author>
    <author>허수영</author>
  </authors>
  <commentList>
    <comment ref="B1" authorId="0" shapeId="0" xr:uid="{03AFDA8B-3621-417C-A5EA-7DC90F8A9076}">
      <text>
        <r>
          <rPr>
            <b/>
            <sz val="12"/>
            <color indexed="81"/>
            <rFont val="돋움"/>
            <family val="3"/>
            <charset val="129"/>
          </rPr>
          <t>(시트별)면적표 작성요망
-1. 호별면적표
-2. 타입별면적표
-3. 근생면적표</t>
        </r>
      </text>
    </comment>
    <comment ref="H8" authorId="1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공용면적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세대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현관</t>
        </r>
        <r>
          <rPr>
            <b/>
            <sz val="9"/>
            <color indexed="81"/>
            <rFont val="Tahoma"/>
            <family val="2"/>
          </rPr>
          <t>(1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공동현관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지상층에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공용면적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서비스면적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S8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ㅇ 주차장 : 건물 내 지상주차장 및 지하주차장 면적 기재
(* 연면적(바닥면적)제외 대상인 필로티 주차장 등 면적은 제외)</t>
        </r>
      </text>
    </comment>
    <comment ref="F25" authorId="1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매도대상토지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감정평가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면적으로서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
주거시설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비주거시설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지분면적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허수영</author>
  </authors>
  <commentList>
    <comment ref="F8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ㅇ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공용면적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세대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계단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복도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현관</t>
        </r>
        <r>
          <rPr>
            <b/>
            <sz val="9"/>
            <color indexed="81"/>
            <rFont val="Tahoma"/>
            <family val="2"/>
          </rPr>
          <t>(1</t>
        </r>
        <r>
          <rPr>
            <b/>
            <sz val="9"/>
            <color indexed="81"/>
            <rFont val="돋움"/>
            <family val="3"/>
            <charset val="129"/>
          </rPr>
          <t>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공동현관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지상층에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공용면적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서비스면적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8" authorId="0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ㅇ 주차장 : 건물 내 지상주차장 및 지하주차장 면적 기재
(* 연면적(바닥면적)제외 대상인 필로티 주차장 등 면적은 제외)</t>
        </r>
      </text>
    </comment>
  </commentList>
</comments>
</file>

<file path=xl/sharedStrings.xml><?xml version="1.0" encoding="utf-8"?>
<sst xmlns="http://schemas.openxmlformats.org/spreadsheetml/2006/main" count="106" uniqueCount="52">
  <si>
    <t>소계</t>
    <phoneticPr fontId="1" type="noConversion"/>
  </si>
  <si>
    <t>비고</t>
    <phoneticPr fontId="1" type="noConversion"/>
  </si>
  <si>
    <t>코아공용</t>
    <phoneticPr fontId="1" type="noConversion"/>
  </si>
  <si>
    <t>기계 / 전기실 등</t>
    <phoneticPr fontId="1" type="noConversion"/>
  </si>
  <si>
    <t>방 개수</t>
    <phoneticPr fontId="1" type="noConversion"/>
  </si>
  <si>
    <t>빌트인 
설치 여부</t>
    <phoneticPr fontId="1" type="noConversion"/>
  </si>
  <si>
    <t>빌트인 설치 품목</t>
    <phoneticPr fontId="1" type="noConversion"/>
  </si>
  <si>
    <t>설치</t>
    <phoneticPr fontId="1" type="noConversion"/>
  </si>
  <si>
    <t>가스렌지, 세탁기, 냉장고, 에어컨</t>
    <phoneticPr fontId="1" type="noConversion"/>
  </si>
  <si>
    <t>(예시) 62A</t>
    <phoneticPr fontId="1" type="noConversion"/>
  </si>
  <si>
    <t>세대수</t>
    <phoneticPr fontId="1" type="noConversion"/>
  </si>
  <si>
    <t>주택
TYPE</t>
    <phoneticPr fontId="1" type="noConversion"/>
  </si>
  <si>
    <t>합 계</t>
    <phoneticPr fontId="1" type="noConversion"/>
  </si>
  <si>
    <t>○ 주    소    지  :</t>
    <phoneticPr fontId="1" type="noConversion"/>
  </si>
  <si>
    <t xml:space="preserve">   ※ 양식 임의 변경은 불가하며, 주소지는 건물명(동 포함)까지 기재 부탁드립니다.</t>
    <phoneticPr fontId="1" type="noConversion"/>
  </si>
  <si>
    <t>호수</t>
    <phoneticPr fontId="1" type="noConversion"/>
  </si>
  <si>
    <t>(예시) 201</t>
    <phoneticPr fontId="1" type="noConversion"/>
  </si>
  <si>
    <t>서비스면적(㎡)</t>
    <phoneticPr fontId="1" type="noConversion"/>
  </si>
  <si>
    <r>
      <t>○ TYPE별 면적표(*</t>
    </r>
    <r>
      <rPr>
        <b/>
        <sz val="13"/>
        <color rgb="FFFF0000"/>
        <rFont val="dotum"/>
        <family val="3"/>
        <charset val="129"/>
      </rPr>
      <t>소수점</t>
    </r>
    <r>
      <rPr>
        <b/>
        <sz val="13"/>
        <color theme="1"/>
        <rFont val="dotum"/>
        <family val="3"/>
        <charset val="129"/>
      </rPr>
      <t xml:space="preserve"> 셋째자리 </t>
    </r>
    <r>
      <rPr>
        <b/>
        <sz val="13"/>
        <color rgb="FFFF0000"/>
        <rFont val="dotum"/>
        <family val="3"/>
        <charset val="129"/>
      </rPr>
      <t>절사 후 둘째자리까지</t>
    </r>
    <r>
      <rPr>
        <b/>
        <sz val="13"/>
        <color theme="1"/>
        <rFont val="dotum"/>
        <family val="3"/>
        <charset val="129"/>
      </rPr>
      <t xml:space="preserve"> 기재)</t>
    </r>
    <phoneticPr fontId="1" type="noConversion"/>
  </si>
  <si>
    <t>발코니 확장</t>
    <phoneticPr fontId="1" type="noConversion"/>
  </si>
  <si>
    <t>발코니 비확장</t>
    <phoneticPr fontId="1" type="noConversion"/>
  </si>
  <si>
    <t>벽체공용</t>
    <phoneticPr fontId="1" type="noConversion"/>
  </si>
  <si>
    <t>주민공동시설
(커뮤니티 등)</t>
    <phoneticPr fontId="1" type="noConversion"/>
  </si>
  <si>
    <t>지하코어</t>
    <phoneticPr fontId="1" type="noConversion"/>
  </si>
  <si>
    <r>
      <t>○ 호별 면적표(*</t>
    </r>
    <r>
      <rPr>
        <b/>
        <sz val="13"/>
        <color rgb="FFFF0000"/>
        <rFont val="dotum"/>
        <family val="3"/>
        <charset val="129"/>
      </rPr>
      <t>소수점</t>
    </r>
    <r>
      <rPr>
        <b/>
        <sz val="13"/>
        <color theme="1"/>
        <rFont val="dotum"/>
        <family val="3"/>
        <charset val="129"/>
      </rPr>
      <t xml:space="preserve"> 셋째자리 </t>
    </r>
    <r>
      <rPr>
        <b/>
        <sz val="13"/>
        <color rgb="FFFF0000"/>
        <rFont val="dotum"/>
        <family val="3"/>
        <charset val="129"/>
      </rPr>
      <t>절사 후 둘째자리까지</t>
    </r>
    <r>
      <rPr>
        <b/>
        <sz val="13"/>
        <color theme="1"/>
        <rFont val="dotum"/>
        <family val="3"/>
        <charset val="129"/>
      </rPr>
      <t xml:space="preserve"> 기재)</t>
    </r>
    <phoneticPr fontId="1" type="noConversion"/>
  </si>
  <si>
    <r>
      <t>○ 근린생활시설 면적표(*</t>
    </r>
    <r>
      <rPr>
        <b/>
        <sz val="13"/>
        <color rgb="FFFF0000"/>
        <rFont val="dotum"/>
        <family val="3"/>
        <charset val="129"/>
      </rPr>
      <t>소수점</t>
    </r>
    <r>
      <rPr>
        <b/>
        <sz val="13"/>
        <color theme="1"/>
        <rFont val="dotum"/>
        <family val="3"/>
        <charset val="129"/>
      </rPr>
      <t xml:space="preserve"> 셋째자리 </t>
    </r>
    <r>
      <rPr>
        <b/>
        <sz val="13"/>
        <color rgb="FFFF0000"/>
        <rFont val="dotum"/>
        <family val="3"/>
        <charset val="129"/>
      </rPr>
      <t>절사 후 둘째자리까지</t>
    </r>
    <r>
      <rPr>
        <b/>
        <sz val="13"/>
        <color theme="1"/>
        <rFont val="dotum"/>
        <family val="3"/>
        <charset val="129"/>
      </rPr>
      <t xml:space="preserve"> 기재)</t>
    </r>
    <phoneticPr fontId="1" type="noConversion"/>
  </si>
  <si>
    <t>경비실</t>
    <phoneticPr fontId="1" type="noConversion"/>
  </si>
  <si>
    <t>관리실</t>
    <phoneticPr fontId="1" type="noConversion"/>
  </si>
  <si>
    <t>62A</t>
  </si>
  <si>
    <t>구분</t>
    <phoneticPr fontId="1" type="noConversion"/>
  </si>
  <si>
    <t>면적
(㎡)</t>
    <phoneticPr fontId="1" type="noConversion"/>
  </si>
  <si>
    <t>실사용 토지(대지)면적</t>
    <phoneticPr fontId="1" type="noConversion"/>
  </si>
  <si>
    <t>주거시설</t>
    <phoneticPr fontId="1" type="noConversion"/>
  </si>
  <si>
    <t>근린생활시설</t>
    <phoneticPr fontId="1" type="noConversion"/>
  </si>
  <si>
    <t>-</t>
    <phoneticPr fontId="1" type="noConversion"/>
  </si>
  <si>
    <t>전용면적</t>
    <phoneticPr fontId="1" type="noConversion"/>
  </si>
  <si>
    <t>계</t>
    <phoneticPr fontId="1" type="noConversion"/>
  </si>
  <si>
    <t>대지권비율반영 지분면적
(㎡)</t>
    <phoneticPr fontId="1" type="noConversion"/>
  </si>
  <si>
    <t>소수점처리전</t>
    <phoneticPr fontId="1" type="noConversion"/>
  </si>
  <si>
    <t>소수점처리후</t>
    <phoneticPr fontId="1" type="noConversion"/>
  </si>
  <si>
    <r>
      <t>ㅇ 주거/비주거시설 대지권비율 면적표</t>
    </r>
    <r>
      <rPr>
        <b/>
        <sz val="13"/>
        <color rgb="FFFF0000"/>
        <rFont val="dotum"/>
        <family val="3"/>
        <charset val="129"/>
      </rPr>
      <t>(공사비연동형으로 비주거시설 있는 경우에 필수 기재, 제출도면의 설계개요서에도 필수 기재)</t>
    </r>
    <phoneticPr fontId="1" type="noConversion"/>
  </si>
  <si>
    <t>주차장ⓕ
(㎡)</t>
    <phoneticPr fontId="1" type="noConversion"/>
  </si>
  <si>
    <r>
      <t>주거 공용면적(㎡)</t>
    </r>
    <r>
      <rPr>
        <b/>
        <sz val="9"/>
        <color rgb="FFFF0000"/>
        <rFont val="dotum"/>
        <family val="3"/>
        <charset val="129"/>
      </rPr>
      <t>ⓑ</t>
    </r>
    <phoneticPr fontId="1" type="noConversion"/>
  </si>
  <si>
    <r>
      <t>전용면적(㎡)</t>
    </r>
    <r>
      <rPr>
        <b/>
        <sz val="9"/>
        <color rgb="FFFF0000"/>
        <rFont val="맑은 고딕"/>
        <family val="3"/>
        <charset val="129"/>
      </rPr>
      <t>ⓐ</t>
    </r>
    <phoneticPr fontId="1" type="noConversion"/>
  </si>
  <si>
    <r>
      <t>기타 공용면적(㎡)</t>
    </r>
    <r>
      <rPr>
        <b/>
        <sz val="9"/>
        <color rgb="FFFF0000"/>
        <rFont val="dotum"/>
        <family val="3"/>
        <charset val="129"/>
      </rPr>
      <t>ⓓ</t>
    </r>
    <phoneticPr fontId="1" type="noConversion"/>
  </si>
  <si>
    <t>분양면적ⓔ
(㎡)
ⓒ+ⓓ</t>
    <phoneticPr fontId="1" type="noConversion"/>
  </si>
  <si>
    <t>계약면적ⓖ
(㎡)
ⓔ+ⓕ</t>
    <phoneticPr fontId="1" type="noConversion"/>
  </si>
  <si>
    <r>
      <t>공급면적</t>
    </r>
    <r>
      <rPr>
        <b/>
        <sz val="9"/>
        <color rgb="FFFF0000"/>
        <rFont val="dotum"/>
        <family val="3"/>
        <charset val="129"/>
      </rPr>
      <t>ⓒ</t>
    </r>
    <r>
      <rPr>
        <b/>
        <sz val="9"/>
        <color theme="1"/>
        <rFont val="dotum"/>
        <family val="3"/>
        <charset val="129"/>
      </rPr>
      <t xml:space="preserve">
(㎡)
</t>
    </r>
    <r>
      <rPr>
        <b/>
        <sz val="9"/>
        <color rgb="FFFF0000"/>
        <rFont val="dotum"/>
        <family val="3"/>
        <charset val="129"/>
      </rPr>
      <t>ⓐ+ⓑ</t>
    </r>
    <phoneticPr fontId="1" type="noConversion"/>
  </si>
  <si>
    <r>
      <t>공용면적(㎡)</t>
    </r>
    <r>
      <rPr>
        <b/>
        <sz val="9"/>
        <color rgb="FFFF0000"/>
        <rFont val="dotum"/>
        <family val="3"/>
        <charset val="129"/>
      </rPr>
      <t>ⓑ</t>
    </r>
    <phoneticPr fontId="1" type="noConversion"/>
  </si>
  <si>
    <t>2. 비주택 용도변경 매입(약정방식) 접수 타입별 면적표</t>
    <phoneticPr fontId="1" type="noConversion"/>
  </si>
  <si>
    <t>1. 비주택 용도변경 매입(약정방식)접수 호별 면적표</t>
    <phoneticPr fontId="1" type="noConversion"/>
  </si>
  <si>
    <t>3. 비주택 용도변경 매입(약정방식) 접수 근린생활시설 면적표(*해당 시)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</si>
</sst>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0.0000_);[Red]\(0.0000\)"/>
    <numFmt numFmtId="178" formatCode="0.0000"/>
    <numFmt numFmtId="179" formatCode="_-* #,##0.00000_-;\-* #,##0.00000_-;_-* &quot;-&quot;_-;_-@_-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333333"/>
      <name val="Dotum"/>
      <family val="3"/>
      <charset val="129"/>
    </font>
    <font>
      <b/>
      <sz val="20"/>
      <color theme="1"/>
      <name val="dotum"/>
      <family val="3"/>
      <charset val="129"/>
    </font>
    <font>
      <sz val="9"/>
      <color theme="1"/>
      <name val="dotum"/>
      <family val="3"/>
      <charset val="129"/>
    </font>
    <font>
      <b/>
      <sz val="9"/>
      <color theme="1"/>
      <name val="dotum"/>
      <family val="3"/>
      <charset val="129"/>
    </font>
    <font>
      <b/>
      <sz val="9"/>
      <name val="dotum"/>
      <family val="3"/>
      <charset val="129"/>
    </font>
    <font>
      <i/>
      <sz val="9"/>
      <color theme="4"/>
      <name val="dotum"/>
      <family val="3"/>
      <charset val="129"/>
    </font>
    <font>
      <b/>
      <sz val="11"/>
      <color rgb="FFFF0000"/>
      <name val="dotum"/>
      <family val="3"/>
      <charset val="129"/>
    </font>
    <font>
      <b/>
      <sz val="12"/>
      <color theme="1"/>
      <name val="dotum"/>
      <family val="3"/>
      <charset val="129"/>
    </font>
    <font>
      <b/>
      <sz val="13"/>
      <color theme="1"/>
      <name val="dotum"/>
      <family val="3"/>
      <charset val="129"/>
    </font>
    <font>
      <b/>
      <sz val="13"/>
      <color rgb="FFFF0000"/>
      <name val="dotum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3"/>
      <color theme="1"/>
      <name val="dotum"/>
      <family val="3"/>
      <charset val="129"/>
    </font>
    <font>
      <b/>
      <sz val="9"/>
      <color rgb="FFFF0000"/>
      <name val="dotum"/>
      <family val="3"/>
      <charset val="129"/>
    </font>
    <font>
      <b/>
      <i/>
      <sz val="13"/>
      <color rgb="FF0070C0"/>
      <name val="dotum"/>
      <family val="3"/>
      <charset val="129"/>
    </font>
    <font>
      <i/>
      <sz val="13"/>
      <color rgb="FF0070C0"/>
      <name val="dotum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rgb="FF0070C0"/>
      <name val="dotum"/>
      <family val="3"/>
      <charset val="129"/>
    </font>
    <font>
      <i/>
      <sz val="9"/>
      <color rgb="FF0070C0"/>
      <name val="dotum"/>
      <family val="3"/>
      <charset val="129"/>
    </font>
    <font>
      <b/>
      <sz val="12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Fill="1">
      <alignment vertical="center"/>
    </xf>
    <xf numFmtId="177" fontId="4" fillId="0" borderId="1" xfId="0" applyNumberFormat="1" applyFont="1" applyFill="1" applyBorder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>
      <alignment vertical="center"/>
    </xf>
    <xf numFmtId="10" fontId="6" fillId="3" borderId="1" xfId="0" applyNumberFormat="1" applyFont="1" applyFill="1" applyBorder="1">
      <alignment vertical="center"/>
    </xf>
    <xf numFmtId="176" fontId="7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10" fillId="0" borderId="0" xfId="0" applyFont="1" applyAlignment="1">
      <alignment vertical="center"/>
    </xf>
    <xf numFmtId="176" fontId="6" fillId="0" borderId="0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>
      <alignment vertical="center"/>
    </xf>
    <xf numFmtId="10" fontId="6" fillId="0" borderId="0" xfId="0" applyNumberFormat="1" applyFont="1" applyFill="1" applyBorder="1">
      <alignment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76" fontId="6" fillId="3" borderId="5" xfId="0" applyNumberFormat="1" applyFont="1" applyFill="1" applyBorder="1" applyAlignment="1">
      <alignment vertical="center"/>
    </xf>
    <xf numFmtId="176" fontId="6" fillId="3" borderId="5" xfId="0" applyNumberFormat="1" applyFont="1" applyFill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6" fillId="0" borderId="0" xfId="0" applyFont="1">
      <alignment vertical="center"/>
    </xf>
    <xf numFmtId="0" fontId="4" fillId="0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176" fontId="6" fillId="3" borderId="1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177" fontId="6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178" fontId="17" fillId="0" borderId="1" xfId="0" applyNumberFormat="1" applyFont="1" applyBorder="1" applyAlignment="1">
      <alignment horizontal="right" vertical="center"/>
    </xf>
    <xf numFmtId="0" fontId="17" fillId="0" borderId="5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78" fontId="17" fillId="0" borderId="1" xfId="0" applyNumberFormat="1" applyFont="1" applyFill="1" applyBorder="1" applyAlignment="1">
      <alignment horizontal="right" vertical="center"/>
    </xf>
    <xf numFmtId="179" fontId="18" fillId="0" borderId="5" xfId="1" applyNumberFormat="1" applyFont="1" applyFill="1" applyBorder="1" applyAlignment="1">
      <alignment horizontal="center" vertical="center"/>
    </xf>
    <xf numFmtId="179" fontId="18" fillId="0" borderId="12" xfId="0" applyNumberFormat="1" applyFont="1" applyBorder="1" applyAlignment="1">
      <alignment horizontal="center" vertical="center"/>
    </xf>
    <xf numFmtId="178" fontId="18" fillId="0" borderId="1" xfId="0" applyNumberFormat="1" applyFont="1" applyFill="1" applyBorder="1" applyAlignment="1">
      <alignment horizontal="right" vertical="center"/>
    </xf>
    <xf numFmtId="179" fontId="18" fillId="0" borderId="5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177" fontId="20" fillId="0" borderId="1" xfId="0" applyNumberFormat="1" applyFont="1" applyFill="1" applyBorder="1">
      <alignment vertical="center"/>
    </xf>
    <xf numFmtId="177" fontId="21" fillId="0" borderId="1" xfId="0" applyNumberFormat="1" applyFont="1" applyFill="1" applyBorder="1">
      <alignment vertical="center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  <pageSetUpPr fitToPage="1"/>
  </sheetPr>
  <dimension ref="A1:Y105"/>
  <sheetViews>
    <sheetView view="pageBreakPreview" topLeftCell="B1" zoomScale="70" zoomScaleNormal="100" zoomScaleSheetLayoutView="70" workbookViewId="0">
      <pane ySplit="9" topLeftCell="A10" activePane="bottomLeft" state="frozen"/>
      <selection pane="bottomLeft" activeCell="G26" sqref="G26"/>
    </sheetView>
  </sheetViews>
  <sheetFormatPr defaultRowHeight="17.649999999999999" customHeight="1"/>
  <cols>
    <col min="1" max="1" width="1.625" style="1" customWidth="1"/>
    <col min="2" max="4" width="9" style="14"/>
    <col min="5" max="5" width="10.125" style="2" customWidth="1"/>
    <col min="6" max="6" width="13.75" style="1" bestFit="1" customWidth="1"/>
    <col min="7" max="7" width="10.875" style="2" customWidth="1"/>
    <col min="8" max="8" width="12.125" style="2" bestFit="1" customWidth="1"/>
    <col min="9" max="9" width="12.375" style="1" bestFit="1" customWidth="1"/>
    <col min="10" max="12" width="13.75" style="1" bestFit="1" customWidth="1"/>
    <col min="13" max="14" width="7.625" style="1" bestFit="1" customWidth="1"/>
    <col min="15" max="15" width="14.375" style="1" bestFit="1" customWidth="1"/>
    <col min="16" max="16" width="8" style="1" bestFit="1" customWidth="1"/>
    <col min="17" max="17" width="8.5" style="1" bestFit="1" customWidth="1"/>
    <col min="18" max="18" width="11.625" style="1" customWidth="1"/>
    <col min="19" max="19" width="10" style="1" bestFit="1" customWidth="1"/>
    <col min="20" max="20" width="13.75" style="1" bestFit="1" customWidth="1"/>
    <col min="21" max="21" width="13.75" style="1" customWidth="1"/>
    <col min="22" max="22" width="56.5" style="1" customWidth="1"/>
    <col min="23" max="23" width="15.125" style="1" customWidth="1"/>
    <col min="24" max="24" width="60.625" style="1" customWidth="1"/>
    <col min="25" max="25" width="23.125" style="1" customWidth="1"/>
    <col min="26" max="16384" width="9" style="1"/>
  </cols>
  <sheetData>
    <row r="1" spans="1:25" ht="25.5">
      <c r="B1" s="69" t="s">
        <v>50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38"/>
      <c r="Y1" s="38"/>
    </row>
    <row r="3" spans="1:25" ht="17.649999999999999" customHeight="1">
      <c r="B3" s="17"/>
      <c r="C3" s="17"/>
      <c r="D3" s="17"/>
    </row>
    <row r="4" spans="1:25" ht="17.649999999999999" customHeight="1">
      <c r="B4" s="18" t="s">
        <v>13</v>
      </c>
      <c r="C4" s="18"/>
      <c r="D4" s="18"/>
      <c r="F4" s="70"/>
      <c r="G4" s="70"/>
      <c r="H4" s="70"/>
      <c r="I4" s="70"/>
      <c r="J4" s="70"/>
    </row>
    <row r="5" spans="1:25" ht="17.649999999999999" customHeight="1">
      <c r="B5" s="17" t="s">
        <v>14</v>
      </c>
      <c r="C5" s="17"/>
      <c r="D5" s="17"/>
    </row>
    <row r="6" spans="1:25" ht="17.649999999999999" customHeight="1">
      <c r="B6" s="17"/>
      <c r="C6" s="17"/>
      <c r="D6" s="17"/>
    </row>
    <row r="7" spans="1:25" ht="17.649999999999999" customHeight="1">
      <c r="B7" s="21" t="s">
        <v>24</v>
      </c>
      <c r="C7" s="21"/>
      <c r="D7" s="21"/>
    </row>
    <row r="8" spans="1:25" s="3" customFormat="1" ht="17.25" customHeight="1">
      <c r="A8" s="20"/>
      <c r="B8" s="71" t="s">
        <v>15</v>
      </c>
      <c r="C8" s="71" t="s">
        <v>11</v>
      </c>
      <c r="D8" s="73" t="s">
        <v>4</v>
      </c>
      <c r="E8" s="75" t="s">
        <v>43</v>
      </c>
      <c r="F8" s="76" t="s">
        <v>17</v>
      </c>
      <c r="G8" s="77"/>
      <c r="H8" s="74" t="s">
        <v>42</v>
      </c>
      <c r="I8" s="74"/>
      <c r="J8" s="74"/>
      <c r="K8" s="75" t="s">
        <v>47</v>
      </c>
      <c r="L8" s="78" t="s">
        <v>44</v>
      </c>
      <c r="M8" s="79"/>
      <c r="N8" s="79"/>
      <c r="O8" s="79"/>
      <c r="P8" s="79"/>
      <c r="Q8" s="80"/>
      <c r="R8" s="57" t="s">
        <v>45</v>
      </c>
      <c r="S8" s="57" t="s">
        <v>41</v>
      </c>
      <c r="T8" s="57" t="s">
        <v>46</v>
      </c>
      <c r="U8" s="75" t="s">
        <v>5</v>
      </c>
      <c r="V8" s="74" t="s">
        <v>6</v>
      </c>
      <c r="W8" s="74" t="s">
        <v>1</v>
      </c>
    </row>
    <row r="9" spans="1:25" s="34" customFormat="1" ht="22.5">
      <c r="A9" s="33"/>
      <c r="B9" s="72"/>
      <c r="C9" s="72"/>
      <c r="D9" s="72"/>
      <c r="E9" s="74"/>
      <c r="F9" s="29" t="s">
        <v>19</v>
      </c>
      <c r="G9" s="30" t="s">
        <v>20</v>
      </c>
      <c r="H9" s="30" t="s">
        <v>21</v>
      </c>
      <c r="I9" s="30" t="s">
        <v>2</v>
      </c>
      <c r="J9" s="30" t="s">
        <v>0</v>
      </c>
      <c r="K9" s="74"/>
      <c r="L9" s="29" t="s">
        <v>22</v>
      </c>
      <c r="M9" s="29" t="s">
        <v>26</v>
      </c>
      <c r="N9" s="29" t="s">
        <v>27</v>
      </c>
      <c r="O9" s="30" t="s">
        <v>3</v>
      </c>
      <c r="P9" s="30" t="s">
        <v>23</v>
      </c>
      <c r="Q9" s="30" t="s">
        <v>0</v>
      </c>
      <c r="R9" s="59"/>
      <c r="S9" s="59"/>
      <c r="T9" s="58"/>
      <c r="U9" s="74"/>
      <c r="V9" s="74"/>
      <c r="W9" s="74"/>
    </row>
    <row r="10" spans="1:25" s="4" customFormat="1" ht="17.649999999999999" customHeight="1">
      <c r="B10" s="16" t="s">
        <v>16</v>
      </c>
      <c r="C10" s="12" t="s">
        <v>28</v>
      </c>
      <c r="D10" s="12">
        <v>3</v>
      </c>
      <c r="E10" s="13">
        <v>62.43</v>
      </c>
      <c r="F10" s="19">
        <v>5.9</v>
      </c>
      <c r="G10" s="19">
        <v>0</v>
      </c>
      <c r="H10" s="13">
        <v>5.9</v>
      </c>
      <c r="I10" s="13">
        <v>18.34</v>
      </c>
      <c r="J10" s="13">
        <f t="shared" ref="J10:J73" si="0">I10+H10</f>
        <v>24.240000000000002</v>
      </c>
      <c r="K10" s="13">
        <f>E10+J10</f>
        <v>86.67</v>
      </c>
      <c r="L10" s="13">
        <v>0.35</v>
      </c>
      <c r="M10" s="13">
        <v>0.35</v>
      </c>
      <c r="N10" s="13">
        <v>0.35</v>
      </c>
      <c r="O10" s="13">
        <v>2.21</v>
      </c>
      <c r="P10" s="13">
        <v>0.35</v>
      </c>
      <c r="Q10" s="13">
        <f t="shared" ref="Q10:Q41" si="1">SUM(L10:P10)</f>
        <v>3.61</v>
      </c>
      <c r="R10" s="13">
        <f>SUM(K10,Q10)</f>
        <v>90.28</v>
      </c>
      <c r="S10" s="13">
        <v>10</v>
      </c>
      <c r="T10" s="13">
        <f>SUM(R10,S10)</f>
        <v>100.28</v>
      </c>
      <c r="U10" s="19" t="s">
        <v>7</v>
      </c>
      <c r="V10" s="13" t="s">
        <v>8</v>
      </c>
      <c r="W10" s="7"/>
    </row>
    <row r="11" spans="1:25" s="4" customFormat="1" ht="17.649999999999999" customHeight="1">
      <c r="B11" s="15"/>
      <c r="C11" s="15"/>
      <c r="D11" s="15"/>
      <c r="E11" s="13"/>
      <c r="F11" s="26"/>
      <c r="G11" s="26"/>
      <c r="H11" s="5"/>
      <c r="I11" s="5"/>
      <c r="J11" s="13">
        <f t="shared" si="0"/>
        <v>0</v>
      </c>
      <c r="K11" s="13">
        <f t="shared" ref="K11:K74" si="2">E11+J11</f>
        <v>0</v>
      </c>
      <c r="L11" s="5"/>
      <c r="M11" s="5"/>
      <c r="N11" s="5"/>
      <c r="O11" s="5"/>
      <c r="P11" s="5"/>
      <c r="Q11" s="13">
        <f t="shared" si="1"/>
        <v>0</v>
      </c>
      <c r="R11" s="13">
        <f t="shared" ref="R11:R74" si="3">SUM(K11,Q11)</f>
        <v>0</v>
      </c>
      <c r="S11" s="55">
        <v>0</v>
      </c>
      <c r="T11" s="13">
        <f t="shared" ref="T11:T74" si="4">SUM(R11,S11)</f>
        <v>0</v>
      </c>
      <c r="U11" s="13"/>
      <c r="V11" s="8"/>
      <c r="W11" s="35"/>
    </row>
    <row r="12" spans="1:25" s="4" customFormat="1" ht="17.649999999999999" customHeight="1">
      <c r="B12" s="15"/>
      <c r="C12" s="15"/>
      <c r="D12" s="15"/>
      <c r="E12" s="5"/>
      <c r="F12" s="26"/>
      <c r="G12" s="26"/>
      <c r="H12" s="5"/>
      <c r="I12" s="5"/>
      <c r="J12" s="13">
        <f t="shared" si="0"/>
        <v>0</v>
      </c>
      <c r="K12" s="13">
        <f t="shared" si="2"/>
        <v>0</v>
      </c>
      <c r="L12" s="5"/>
      <c r="M12" s="5"/>
      <c r="N12" s="5"/>
      <c r="O12" s="5"/>
      <c r="P12" s="5"/>
      <c r="Q12" s="13">
        <f t="shared" si="1"/>
        <v>0</v>
      </c>
      <c r="R12" s="13">
        <f t="shared" si="3"/>
        <v>0</v>
      </c>
      <c r="S12" s="55">
        <v>0</v>
      </c>
      <c r="T12" s="13">
        <f t="shared" si="4"/>
        <v>0</v>
      </c>
      <c r="U12" s="13"/>
      <c r="V12" s="8"/>
      <c r="W12" s="35"/>
    </row>
    <row r="13" spans="1:25" s="4" customFormat="1" ht="17.649999999999999" customHeight="1">
      <c r="B13" s="15"/>
      <c r="C13" s="15"/>
      <c r="D13" s="15"/>
      <c r="E13" s="5"/>
      <c r="F13" s="26"/>
      <c r="G13" s="26"/>
      <c r="H13" s="5"/>
      <c r="I13" s="5"/>
      <c r="J13" s="13">
        <f t="shared" si="0"/>
        <v>0</v>
      </c>
      <c r="K13" s="13">
        <f t="shared" si="2"/>
        <v>0</v>
      </c>
      <c r="L13" s="5"/>
      <c r="M13" s="5"/>
      <c r="N13" s="5"/>
      <c r="O13" s="5"/>
      <c r="P13" s="5"/>
      <c r="Q13" s="13">
        <f t="shared" si="1"/>
        <v>0</v>
      </c>
      <c r="R13" s="13">
        <f t="shared" si="3"/>
        <v>0</v>
      </c>
      <c r="S13" s="55">
        <v>0</v>
      </c>
      <c r="T13" s="13">
        <f t="shared" si="4"/>
        <v>0</v>
      </c>
      <c r="U13" s="13"/>
      <c r="V13" s="8"/>
      <c r="W13" s="35"/>
    </row>
    <row r="14" spans="1:25" s="4" customFormat="1" ht="17.649999999999999" customHeight="1">
      <c r="B14" s="15"/>
      <c r="C14" s="15"/>
      <c r="D14" s="15"/>
      <c r="E14" s="5"/>
      <c r="F14" s="26"/>
      <c r="G14" s="26"/>
      <c r="H14" s="5"/>
      <c r="I14" s="5"/>
      <c r="J14" s="13">
        <f t="shared" si="0"/>
        <v>0</v>
      </c>
      <c r="K14" s="13">
        <f t="shared" si="2"/>
        <v>0</v>
      </c>
      <c r="L14" s="5"/>
      <c r="M14" s="5"/>
      <c r="N14" s="5"/>
      <c r="O14" s="5"/>
      <c r="P14" s="5"/>
      <c r="Q14" s="13">
        <f t="shared" si="1"/>
        <v>0</v>
      </c>
      <c r="R14" s="13">
        <f t="shared" si="3"/>
        <v>0</v>
      </c>
      <c r="S14" s="55">
        <v>0</v>
      </c>
      <c r="T14" s="13">
        <f t="shared" si="4"/>
        <v>0</v>
      </c>
      <c r="U14" s="13"/>
      <c r="V14" s="8"/>
      <c r="W14" s="35"/>
    </row>
    <row r="15" spans="1:25" s="4" customFormat="1" ht="17.649999999999999" customHeight="1">
      <c r="B15" s="15"/>
      <c r="C15" s="15"/>
      <c r="D15" s="15"/>
      <c r="E15" s="5"/>
      <c r="F15" s="26"/>
      <c r="G15" s="26"/>
      <c r="H15" s="5"/>
      <c r="I15" s="5"/>
      <c r="J15" s="13">
        <f t="shared" si="0"/>
        <v>0</v>
      </c>
      <c r="K15" s="13">
        <f t="shared" si="2"/>
        <v>0</v>
      </c>
      <c r="L15" s="5"/>
      <c r="M15" s="5"/>
      <c r="N15" s="5"/>
      <c r="O15" s="5"/>
      <c r="P15" s="5"/>
      <c r="Q15" s="13">
        <f t="shared" si="1"/>
        <v>0</v>
      </c>
      <c r="R15" s="13">
        <f t="shared" si="3"/>
        <v>0</v>
      </c>
      <c r="S15" s="55">
        <v>0</v>
      </c>
      <c r="T15" s="13">
        <f t="shared" si="4"/>
        <v>0</v>
      </c>
      <c r="U15" s="13"/>
      <c r="V15" s="8"/>
      <c r="W15" s="35"/>
    </row>
    <row r="16" spans="1:25" s="4" customFormat="1" ht="17.649999999999999" customHeight="1">
      <c r="B16" s="15"/>
      <c r="C16" s="15"/>
      <c r="D16" s="15"/>
      <c r="E16" s="5"/>
      <c r="F16" s="26"/>
      <c r="G16" s="26"/>
      <c r="H16" s="5"/>
      <c r="I16" s="5"/>
      <c r="J16" s="13">
        <f t="shared" si="0"/>
        <v>0</v>
      </c>
      <c r="K16" s="13">
        <f t="shared" si="2"/>
        <v>0</v>
      </c>
      <c r="L16" s="5"/>
      <c r="M16" s="5"/>
      <c r="N16" s="5"/>
      <c r="O16" s="5"/>
      <c r="P16" s="5"/>
      <c r="Q16" s="13">
        <f t="shared" si="1"/>
        <v>0</v>
      </c>
      <c r="R16" s="13">
        <f t="shared" si="3"/>
        <v>0</v>
      </c>
      <c r="S16" s="55">
        <v>0</v>
      </c>
      <c r="T16" s="13">
        <f t="shared" si="4"/>
        <v>0</v>
      </c>
      <c r="U16" s="13"/>
      <c r="V16" s="8"/>
      <c r="W16" s="35"/>
    </row>
    <row r="17" spans="2:23" s="4" customFormat="1" ht="17.649999999999999" customHeight="1">
      <c r="B17" s="15"/>
      <c r="C17" s="15"/>
      <c r="D17" s="15"/>
      <c r="E17" s="5"/>
      <c r="F17" s="26"/>
      <c r="G17" s="26"/>
      <c r="H17" s="5"/>
      <c r="I17" s="5"/>
      <c r="J17" s="13">
        <f t="shared" si="0"/>
        <v>0</v>
      </c>
      <c r="K17" s="13">
        <f t="shared" si="2"/>
        <v>0</v>
      </c>
      <c r="L17" s="5"/>
      <c r="M17" s="5"/>
      <c r="N17" s="5"/>
      <c r="O17" s="5"/>
      <c r="P17" s="5"/>
      <c r="Q17" s="13">
        <f t="shared" si="1"/>
        <v>0</v>
      </c>
      <c r="R17" s="13">
        <f t="shared" si="3"/>
        <v>0</v>
      </c>
      <c r="S17" s="55">
        <v>0</v>
      </c>
      <c r="T17" s="13">
        <f t="shared" si="4"/>
        <v>0</v>
      </c>
      <c r="U17" s="13"/>
      <c r="V17" s="8"/>
      <c r="W17" s="35"/>
    </row>
    <row r="18" spans="2:23" s="4" customFormat="1" ht="17.649999999999999" customHeight="1">
      <c r="B18" s="15"/>
      <c r="C18" s="15"/>
      <c r="D18" s="15"/>
      <c r="E18" s="5"/>
      <c r="F18" s="26"/>
      <c r="G18" s="26"/>
      <c r="H18" s="5"/>
      <c r="I18" s="5"/>
      <c r="J18" s="13">
        <f t="shared" si="0"/>
        <v>0</v>
      </c>
      <c r="K18" s="13">
        <f t="shared" si="2"/>
        <v>0</v>
      </c>
      <c r="L18" s="5"/>
      <c r="M18" s="5"/>
      <c r="N18" s="5"/>
      <c r="O18" s="5"/>
      <c r="P18" s="5"/>
      <c r="Q18" s="13">
        <f t="shared" si="1"/>
        <v>0</v>
      </c>
      <c r="R18" s="13">
        <f t="shared" si="3"/>
        <v>0</v>
      </c>
      <c r="S18" s="55">
        <v>0</v>
      </c>
      <c r="T18" s="13">
        <f t="shared" si="4"/>
        <v>0</v>
      </c>
      <c r="U18" s="13"/>
      <c r="V18" s="8"/>
      <c r="W18" s="35"/>
    </row>
    <row r="19" spans="2:23" s="4" customFormat="1" ht="17.649999999999999" customHeight="1">
      <c r="B19" s="15"/>
      <c r="C19" s="15"/>
      <c r="D19" s="15"/>
      <c r="E19" s="5"/>
      <c r="F19" s="26"/>
      <c r="G19" s="26"/>
      <c r="H19" s="5"/>
      <c r="I19" s="5"/>
      <c r="J19" s="13">
        <f t="shared" si="0"/>
        <v>0</v>
      </c>
      <c r="K19" s="13">
        <f t="shared" si="2"/>
        <v>0</v>
      </c>
      <c r="L19" s="5"/>
      <c r="M19" s="5"/>
      <c r="N19" s="5"/>
      <c r="O19" s="5"/>
      <c r="P19" s="5"/>
      <c r="Q19" s="13">
        <f t="shared" si="1"/>
        <v>0</v>
      </c>
      <c r="R19" s="13">
        <f t="shared" si="3"/>
        <v>0</v>
      </c>
      <c r="S19" s="55">
        <v>0</v>
      </c>
      <c r="T19" s="13">
        <f t="shared" si="4"/>
        <v>0</v>
      </c>
      <c r="U19" s="13"/>
      <c r="V19" s="8"/>
      <c r="W19" s="35"/>
    </row>
    <row r="20" spans="2:23" s="4" customFormat="1" ht="17.649999999999999" customHeight="1">
      <c r="B20" s="15"/>
      <c r="C20" s="15"/>
      <c r="D20" s="15"/>
      <c r="E20" s="5"/>
      <c r="F20" s="26"/>
      <c r="G20" s="26"/>
      <c r="H20" s="5"/>
      <c r="I20" s="5"/>
      <c r="J20" s="13">
        <f t="shared" si="0"/>
        <v>0</v>
      </c>
      <c r="K20" s="13">
        <f t="shared" si="2"/>
        <v>0</v>
      </c>
      <c r="L20" s="5"/>
      <c r="M20" s="5"/>
      <c r="N20" s="5"/>
      <c r="O20" s="5"/>
      <c r="P20" s="5"/>
      <c r="Q20" s="13">
        <f t="shared" si="1"/>
        <v>0</v>
      </c>
      <c r="R20" s="13">
        <f t="shared" si="3"/>
        <v>0</v>
      </c>
      <c r="S20" s="55">
        <v>0</v>
      </c>
      <c r="T20" s="13">
        <f t="shared" si="4"/>
        <v>0</v>
      </c>
      <c r="U20" s="13"/>
      <c r="V20" s="8"/>
      <c r="W20" s="35"/>
    </row>
    <row r="21" spans="2:23" s="4" customFormat="1" ht="17.649999999999999" customHeight="1">
      <c r="B21" s="15"/>
      <c r="C21" s="15"/>
      <c r="D21" s="15"/>
      <c r="E21" s="5"/>
      <c r="F21" s="26"/>
      <c r="G21" s="26"/>
      <c r="H21" s="5"/>
      <c r="I21" s="5"/>
      <c r="J21" s="13">
        <f t="shared" si="0"/>
        <v>0</v>
      </c>
      <c r="K21" s="13">
        <f t="shared" si="2"/>
        <v>0</v>
      </c>
      <c r="L21" s="5"/>
      <c r="M21" s="5"/>
      <c r="N21" s="5"/>
      <c r="O21" s="5"/>
      <c r="P21" s="5"/>
      <c r="Q21" s="13">
        <f t="shared" si="1"/>
        <v>0</v>
      </c>
      <c r="R21" s="13">
        <f t="shared" si="3"/>
        <v>0</v>
      </c>
      <c r="S21" s="55">
        <v>0</v>
      </c>
      <c r="T21" s="13">
        <f t="shared" si="4"/>
        <v>0</v>
      </c>
      <c r="U21" s="13"/>
      <c r="V21" s="8"/>
      <c r="W21" s="35"/>
    </row>
    <row r="22" spans="2:23" s="4" customFormat="1" ht="17.649999999999999" customHeight="1">
      <c r="B22" s="15"/>
      <c r="C22" s="15"/>
      <c r="D22" s="15"/>
      <c r="E22" s="5"/>
      <c r="F22" s="26"/>
      <c r="G22" s="26"/>
      <c r="H22" s="5"/>
      <c r="I22" s="5"/>
      <c r="J22" s="13">
        <f t="shared" si="0"/>
        <v>0</v>
      </c>
      <c r="K22" s="13">
        <f t="shared" si="2"/>
        <v>0</v>
      </c>
      <c r="L22" s="5"/>
      <c r="M22" s="5"/>
      <c r="N22" s="5"/>
      <c r="O22" s="5"/>
      <c r="P22" s="5"/>
      <c r="Q22" s="13">
        <f t="shared" si="1"/>
        <v>0</v>
      </c>
      <c r="R22" s="13">
        <f t="shared" si="3"/>
        <v>0</v>
      </c>
      <c r="S22" s="55">
        <v>0</v>
      </c>
      <c r="T22" s="13">
        <f t="shared" si="4"/>
        <v>0</v>
      </c>
      <c r="U22" s="13"/>
      <c r="V22" s="8"/>
      <c r="W22" s="35"/>
    </row>
    <row r="23" spans="2:23" s="4" customFormat="1" ht="17.649999999999999" customHeight="1">
      <c r="B23" s="15"/>
      <c r="C23" s="15"/>
      <c r="D23" s="15"/>
      <c r="E23" s="5"/>
      <c r="F23" s="26"/>
      <c r="G23" s="26"/>
      <c r="H23" s="5"/>
      <c r="I23" s="5"/>
      <c r="J23" s="13">
        <f t="shared" si="0"/>
        <v>0</v>
      </c>
      <c r="K23" s="13">
        <f t="shared" si="2"/>
        <v>0</v>
      </c>
      <c r="L23" s="5"/>
      <c r="M23" s="5"/>
      <c r="N23" s="5"/>
      <c r="O23" s="5"/>
      <c r="P23" s="5"/>
      <c r="Q23" s="13">
        <f t="shared" si="1"/>
        <v>0</v>
      </c>
      <c r="R23" s="13">
        <f t="shared" si="3"/>
        <v>0</v>
      </c>
      <c r="S23" s="55">
        <v>0</v>
      </c>
      <c r="T23" s="13">
        <f t="shared" si="4"/>
        <v>0</v>
      </c>
      <c r="U23" s="13"/>
      <c r="V23" s="8"/>
      <c r="W23" s="35"/>
    </row>
    <row r="24" spans="2:23" s="4" customFormat="1" ht="17.649999999999999" customHeight="1">
      <c r="B24" s="15"/>
      <c r="C24" s="15"/>
      <c r="D24" s="15"/>
      <c r="E24" s="5"/>
      <c r="F24" s="26"/>
      <c r="G24" s="26"/>
      <c r="H24" s="5"/>
      <c r="I24" s="5"/>
      <c r="J24" s="13">
        <f t="shared" si="0"/>
        <v>0</v>
      </c>
      <c r="K24" s="13">
        <f t="shared" si="2"/>
        <v>0</v>
      </c>
      <c r="L24" s="5"/>
      <c r="M24" s="5"/>
      <c r="N24" s="5"/>
      <c r="O24" s="5"/>
      <c r="P24" s="5"/>
      <c r="Q24" s="13">
        <f t="shared" si="1"/>
        <v>0</v>
      </c>
      <c r="R24" s="13">
        <f t="shared" si="3"/>
        <v>0</v>
      </c>
      <c r="S24" s="55">
        <v>0</v>
      </c>
      <c r="T24" s="13">
        <f t="shared" si="4"/>
        <v>0</v>
      </c>
      <c r="U24" s="13"/>
      <c r="V24" s="8"/>
      <c r="W24" s="35"/>
    </row>
    <row r="25" spans="2:23" s="4" customFormat="1" ht="17.649999999999999" customHeight="1">
      <c r="B25" s="15"/>
      <c r="C25" s="15"/>
      <c r="D25" s="15"/>
      <c r="E25" s="5"/>
      <c r="F25" s="26"/>
      <c r="G25" s="26"/>
      <c r="H25" s="5"/>
      <c r="I25" s="5"/>
      <c r="J25" s="13">
        <f t="shared" si="0"/>
        <v>0</v>
      </c>
      <c r="K25" s="13">
        <f t="shared" si="2"/>
        <v>0</v>
      </c>
      <c r="L25" s="5"/>
      <c r="M25" s="5"/>
      <c r="N25" s="5"/>
      <c r="O25" s="5"/>
      <c r="P25" s="5"/>
      <c r="Q25" s="13">
        <f t="shared" si="1"/>
        <v>0</v>
      </c>
      <c r="R25" s="13">
        <f t="shared" si="3"/>
        <v>0</v>
      </c>
      <c r="S25" s="55">
        <v>0</v>
      </c>
      <c r="T25" s="13">
        <f t="shared" si="4"/>
        <v>0</v>
      </c>
      <c r="U25" s="13"/>
      <c r="V25" s="8"/>
      <c r="W25" s="35"/>
    </row>
    <row r="26" spans="2:23" s="4" customFormat="1" ht="17.649999999999999" customHeight="1">
      <c r="B26" s="15"/>
      <c r="C26" s="15"/>
      <c r="D26" s="15"/>
      <c r="E26" s="5"/>
      <c r="F26" s="26"/>
      <c r="G26" s="26"/>
      <c r="H26" s="5"/>
      <c r="I26" s="5"/>
      <c r="J26" s="13">
        <f t="shared" si="0"/>
        <v>0</v>
      </c>
      <c r="K26" s="13">
        <f t="shared" si="2"/>
        <v>0</v>
      </c>
      <c r="L26" s="5"/>
      <c r="M26" s="5"/>
      <c r="N26" s="5"/>
      <c r="O26" s="5"/>
      <c r="P26" s="5"/>
      <c r="Q26" s="13">
        <f t="shared" si="1"/>
        <v>0</v>
      </c>
      <c r="R26" s="13">
        <f t="shared" si="3"/>
        <v>0</v>
      </c>
      <c r="S26" s="55">
        <v>0</v>
      </c>
      <c r="T26" s="13">
        <f t="shared" si="4"/>
        <v>0</v>
      </c>
      <c r="U26" s="13"/>
      <c r="V26" s="8"/>
      <c r="W26" s="35"/>
    </row>
    <row r="27" spans="2:23" s="4" customFormat="1" ht="17.649999999999999" customHeight="1">
      <c r="B27" s="15"/>
      <c r="C27" s="15"/>
      <c r="D27" s="15"/>
      <c r="E27" s="5"/>
      <c r="F27" s="26"/>
      <c r="G27" s="26"/>
      <c r="H27" s="5"/>
      <c r="I27" s="5"/>
      <c r="J27" s="13">
        <f t="shared" si="0"/>
        <v>0</v>
      </c>
      <c r="K27" s="13">
        <f t="shared" si="2"/>
        <v>0</v>
      </c>
      <c r="L27" s="5"/>
      <c r="M27" s="5"/>
      <c r="N27" s="5"/>
      <c r="O27" s="5"/>
      <c r="P27" s="5"/>
      <c r="Q27" s="13">
        <f t="shared" si="1"/>
        <v>0</v>
      </c>
      <c r="R27" s="13">
        <f t="shared" si="3"/>
        <v>0</v>
      </c>
      <c r="S27" s="55">
        <v>0</v>
      </c>
      <c r="T27" s="13">
        <f t="shared" si="4"/>
        <v>0</v>
      </c>
      <c r="U27" s="13"/>
      <c r="V27" s="8"/>
      <c r="W27" s="35"/>
    </row>
    <row r="28" spans="2:23" s="4" customFormat="1" ht="17.649999999999999" customHeight="1">
      <c r="B28" s="15"/>
      <c r="C28" s="15"/>
      <c r="D28" s="15"/>
      <c r="E28" s="5"/>
      <c r="F28" s="26"/>
      <c r="G28" s="26"/>
      <c r="H28" s="5"/>
      <c r="I28" s="5"/>
      <c r="J28" s="13">
        <f t="shared" si="0"/>
        <v>0</v>
      </c>
      <c r="K28" s="13">
        <f t="shared" si="2"/>
        <v>0</v>
      </c>
      <c r="L28" s="5"/>
      <c r="M28" s="5"/>
      <c r="N28" s="5"/>
      <c r="O28" s="5"/>
      <c r="P28" s="5"/>
      <c r="Q28" s="13">
        <f t="shared" si="1"/>
        <v>0</v>
      </c>
      <c r="R28" s="13">
        <f t="shared" si="3"/>
        <v>0</v>
      </c>
      <c r="S28" s="55">
        <v>0</v>
      </c>
      <c r="T28" s="13">
        <f t="shared" si="4"/>
        <v>0</v>
      </c>
      <c r="U28" s="13"/>
      <c r="V28" s="8"/>
      <c r="W28" s="35"/>
    </row>
    <row r="29" spans="2:23" s="4" customFormat="1" ht="17.649999999999999" customHeight="1">
      <c r="B29" s="15"/>
      <c r="C29" s="15"/>
      <c r="D29" s="15"/>
      <c r="E29" s="5"/>
      <c r="F29" s="26"/>
      <c r="G29" s="26"/>
      <c r="H29" s="5"/>
      <c r="I29" s="5"/>
      <c r="J29" s="13">
        <f t="shared" si="0"/>
        <v>0</v>
      </c>
      <c r="K29" s="13">
        <f t="shared" si="2"/>
        <v>0</v>
      </c>
      <c r="L29" s="5"/>
      <c r="M29" s="5"/>
      <c r="N29" s="5"/>
      <c r="O29" s="5"/>
      <c r="P29" s="5"/>
      <c r="Q29" s="13">
        <f t="shared" si="1"/>
        <v>0</v>
      </c>
      <c r="R29" s="13">
        <f t="shared" si="3"/>
        <v>0</v>
      </c>
      <c r="S29" s="55">
        <v>0</v>
      </c>
      <c r="T29" s="13">
        <f t="shared" si="4"/>
        <v>0</v>
      </c>
      <c r="U29" s="13"/>
      <c r="V29" s="8"/>
      <c r="W29" s="35"/>
    </row>
    <row r="30" spans="2:23" s="4" customFormat="1" ht="17.649999999999999" customHeight="1">
      <c r="B30" s="15"/>
      <c r="C30" s="15"/>
      <c r="D30" s="15"/>
      <c r="E30" s="5"/>
      <c r="F30" s="26"/>
      <c r="G30" s="26"/>
      <c r="H30" s="5"/>
      <c r="I30" s="5"/>
      <c r="J30" s="13">
        <f t="shared" si="0"/>
        <v>0</v>
      </c>
      <c r="K30" s="13">
        <f t="shared" si="2"/>
        <v>0</v>
      </c>
      <c r="L30" s="5"/>
      <c r="M30" s="5"/>
      <c r="N30" s="5"/>
      <c r="O30" s="5"/>
      <c r="P30" s="5"/>
      <c r="Q30" s="13">
        <f t="shared" si="1"/>
        <v>0</v>
      </c>
      <c r="R30" s="13">
        <f t="shared" si="3"/>
        <v>0</v>
      </c>
      <c r="S30" s="55">
        <v>0</v>
      </c>
      <c r="T30" s="13">
        <f t="shared" si="4"/>
        <v>0</v>
      </c>
      <c r="U30" s="13"/>
      <c r="V30" s="8"/>
      <c r="W30" s="35"/>
    </row>
    <row r="31" spans="2:23" s="4" customFormat="1" ht="17.649999999999999" customHeight="1">
      <c r="B31" s="15"/>
      <c r="C31" s="15"/>
      <c r="D31" s="15"/>
      <c r="E31" s="5"/>
      <c r="F31" s="26"/>
      <c r="G31" s="26"/>
      <c r="H31" s="5"/>
      <c r="I31" s="5"/>
      <c r="J31" s="13">
        <f t="shared" si="0"/>
        <v>0</v>
      </c>
      <c r="K31" s="13">
        <f t="shared" si="2"/>
        <v>0</v>
      </c>
      <c r="L31" s="5"/>
      <c r="M31" s="5"/>
      <c r="N31" s="5"/>
      <c r="O31" s="5"/>
      <c r="P31" s="5"/>
      <c r="Q31" s="13">
        <f t="shared" si="1"/>
        <v>0</v>
      </c>
      <c r="R31" s="13">
        <f t="shared" si="3"/>
        <v>0</v>
      </c>
      <c r="S31" s="55">
        <v>0</v>
      </c>
      <c r="T31" s="13">
        <f t="shared" si="4"/>
        <v>0</v>
      </c>
      <c r="U31" s="13"/>
      <c r="V31" s="8"/>
      <c r="W31" s="35"/>
    </row>
    <row r="32" spans="2:23" s="4" customFormat="1" ht="17.649999999999999" customHeight="1">
      <c r="B32" s="15"/>
      <c r="C32" s="15"/>
      <c r="D32" s="15"/>
      <c r="E32" s="5"/>
      <c r="F32" s="26"/>
      <c r="G32" s="26"/>
      <c r="H32" s="5"/>
      <c r="I32" s="5"/>
      <c r="J32" s="13">
        <f t="shared" si="0"/>
        <v>0</v>
      </c>
      <c r="K32" s="13">
        <f t="shared" si="2"/>
        <v>0</v>
      </c>
      <c r="L32" s="5"/>
      <c r="M32" s="5"/>
      <c r="N32" s="5"/>
      <c r="O32" s="5"/>
      <c r="P32" s="5"/>
      <c r="Q32" s="13">
        <f t="shared" si="1"/>
        <v>0</v>
      </c>
      <c r="R32" s="13">
        <f t="shared" si="3"/>
        <v>0</v>
      </c>
      <c r="S32" s="55">
        <v>0</v>
      </c>
      <c r="T32" s="13">
        <f t="shared" si="4"/>
        <v>0</v>
      </c>
      <c r="U32" s="13"/>
      <c r="V32" s="8"/>
      <c r="W32" s="35"/>
    </row>
    <row r="33" spans="2:23" s="4" customFormat="1" ht="17.649999999999999" customHeight="1">
      <c r="B33" s="15"/>
      <c r="C33" s="15"/>
      <c r="D33" s="15"/>
      <c r="E33" s="5"/>
      <c r="F33" s="26"/>
      <c r="G33" s="26"/>
      <c r="H33" s="5"/>
      <c r="I33" s="5"/>
      <c r="J33" s="13">
        <f t="shared" si="0"/>
        <v>0</v>
      </c>
      <c r="K33" s="13">
        <f t="shared" si="2"/>
        <v>0</v>
      </c>
      <c r="L33" s="5"/>
      <c r="M33" s="5"/>
      <c r="N33" s="5"/>
      <c r="O33" s="5"/>
      <c r="P33" s="5"/>
      <c r="Q33" s="13">
        <f t="shared" si="1"/>
        <v>0</v>
      </c>
      <c r="R33" s="13">
        <f t="shared" si="3"/>
        <v>0</v>
      </c>
      <c r="S33" s="55">
        <v>0</v>
      </c>
      <c r="T33" s="13">
        <f t="shared" si="4"/>
        <v>0</v>
      </c>
      <c r="U33" s="13"/>
      <c r="V33" s="8"/>
      <c r="W33" s="35"/>
    </row>
    <row r="34" spans="2:23" s="4" customFormat="1" ht="17.649999999999999" customHeight="1">
      <c r="B34" s="15"/>
      <c r="C34" s="15"/>
      <c r="D34" s="15"/>
      <c r="E34" s="5"/>
      <c r="F34" s="26"/>
      <c r="G34" s="26"/>
      <c r="H34" s="5"/>
      <c r="I34" s="5"/>
      <c r="J34" s="13">
        <f t="shared" si="0"/>
        <v>0</v>
      </c>
      <c r="K34" s="13">
        <f t="shared" si="2"/>
        <v>0</v>
      </c>
      <c r="L34" s="5"/>
      <c r="M34" s="5"/>
      <c r="N34" s="5"/>
      <c r="O34" s="5"/>
      <c r="P34" s="5"/>
      <c r="Q34" s="13">
        <f t="shared" si="1"/>
        <v>0</v>
      </c>
      <c r="R34" s="13">
        <f t="shared" si="3"/>
        <v>0</v>
      </c>
      <c r="S34" s="55">
        <v>0</v>
      </c>
      <c r="T34" s="13">
        <f t="shared" si="4"/>
        <v>0</v>
      </c>
      <c r="U34" s="13"/>
      <c r="V34" s="8"/>
      <c r="W34" s="35"/>
    </row>
    <row r="35" spans="2:23" s="4" customFormat="1" ht="17.649999999999999" customHeight="1">
      <c r="B35" s="15"/>
      <c r="C35" s="15"/>
      <c r="D35" s="15"/>
      <c r="E35" s="5"/>
      <c r="F35" s="26"/>
      <c r="G35" s="26"/>
      <c r="H35" s="5"/>
      <c r="I35" s="5"/>
      <c r="J35" s="13">
        <f t="shared" si="0"/>
        <v>0</v>
      </c>
      <c r="K35" s="13">
        <f t="shared" si="2"/>
        <v>0</v>
      </c>
      <c r="L35" s="5"/>
      <c r="M35" s="5"/>
      <c r="N35" s="5"/>
      <c r="O35" s="5"/>
      <c r="P35" s="5"/>
      <c r="Q35" s="13">
        <f t="shared" si="1"/>
        <v>0</v>
      </c>
      <c r="R35" s="13">
        <f t="shared" si="3"/>
        <v>0</v>
      </c>
      <c r="S35" s="55">
        <v>0</v>
      </c>
      <c r="T35" s="13">
        <f t="shared" si="4"/>
        <v>0</v>
      </c>
      <c r="U35" s="13"/>
      <c r="V35" s="8"/>
      <c r="W35" s="35"/>
    </row>
    <row r="36" spans="2:23" s="4" customFormat="1" ht="17.649999999999999" customHeight="1">
      <c r="B36" s="15"/>
      <c r="C36" s="15"/>
      <c r="D36" s="15"/>
      <c r="E36" s="5"/>
      <c r="F36" s="26"/>
      <c r="G36" s="26"/>
      <c r="H36" s="5"/>
      <c r="I36" s="5"/>
      <c r="J36" s="13">
        <f t="shared" si="0"/>
        <v>0</v>
      </c>
      <c r="K36" s="13">
        <f t="shared" si="2"/>
        <v>0</v>
      </c>
      <c r="L36" s="5"/>
      <c r="M36" s="5"/>
      <c r="N36" s="5"/>
      <c r="O36" s="5"/>
      <c r="P36" s="5"/>
      <c r="Q36" s="13">
        <f t="shared" si="1"/>
        <v>0</v>
      </c>
      <c r="R36" s="13">
        <f t="shared" si="3"/>
        <v>0</v>
      </c>
      <c r="S36" s="55">
        <v>0</v>
      </c>
      <c r="T36" s="13">
        <f t="shared" si="4"/>
        <v>0</v>
      </c>
      <c r="U36" s="13"/>
      <c r="V36" s="8"/>
      <c r="W36" s="35"/>
    </row>
    <row r="37" spans="2:23" s="4" customFormat="1" ht="17.649999999999999" customHeight="1">
      <c r="B37" s="15"/>
      <c r="C37" s="15"/>
      <c r="D37" s="15"/>
      <c r="E37" s="5"/>
      <c r="F37" s="26"/>
      <c r="G37" s="26"/>
      <c r="H37" s="5"/>
      <c r="I37" s="5"/>
      <c r="J37" s="13">
        <f t="shared" si="0"/>
        <v>0</v>
      </c>
      <c r="K37" s="13">
        <f t="shared" si="2"/>
        <v>0</v>
      </c>
      <c r="L37" s="5"/>
      <c r="M37" s="5"/>
      <c r="N37" s="5"/>
      <c r="O37" s="5"/>
      <c r="P37" s="5"/>
      <c r="Q37" s="13">
        <f t="shared" si="1"/>
        <v>0</v>
      </c>
      <c r="R37" s="13">
        <f t="shared" si="3"/>
        <v>0</v>
      </c>
      <c r="S37" s="55">
        <v>0</v>
      </c>
      <c r="T37" s="13">
        <f t="shared" si="4"/>
        <v>0</v>
      </c>
      <c r="U37" s="13"/>
      <c r="V37" s="8"/>
      <c r="W37" s="35"/>
    </row>
    <row r="38" spans="2:23" s="4" customFormat="1" ht="17.649999999999999" customHeight="1">
      <c r="B38" s="15"/>
      <c r="C38" s="15"/>
      <c r="D38" s="15"/>
      <c r="E38" s="5"/>
      <c r="F38" s="26"/>
      <c r="G38" s="26"/>
      <c r="H38" s="5"/>
      <c r="I38" s="5"/>
      <c r="J38" s="13">
        <f t="shared" si="0"/>
        <v>0</v>
      </c>
      <c r="K38" s="13">
        <f t="shared" si="2"/>
        <v>0</v>
      </c>
      <c r="L38" s="5"/>
      <c r="M38" s="5"/>
      <c r="N38" s="5"/>
      <c r="O38" s="5"/>
      <c r="P38" s="5"/>
      <c r="Q38" s="13">
        <f t="shared" si="1"/>
        <v>0</v>
      </c>
      <c r="R38" s="13">
        <f t="shared" si="3"/>
        <v>0</v>
      </c>
      <c r="S38" s="55">
        <v>0</v>
      </c>
      <c r="T38" s="13">
        <f t="shared" si="4"/>
        <v>0</v>
      </c>
      <c r="U38" s="13"/>
      <c r="V38" s="8"/>
      <c r="W38" s="35"/>
    </row>
    <row r="39" spans="2:23" s="4" customFormat="1" ht="17.649999999999999" customHeight="1">
      <c r="B39" s="15"/>
      <c r="C39" s="15"/>
      <c r="D39" s="15"/>
      <c r="E39" s="5"/>
      <c r="F39" s="26"/>
      <c r="G39" s="26"/>
      <c r="H39" s="5"/>
      <c r="I39" s="5"/>
      <c r="J39" s="13">
        <f t="shared" si="0"/>
        <v>0</v>
      </c>
      <c r="K39" s="13">
        <f t="shared" si="2"/>
        <v>0</v>
      </c>
      <c r="L39" s="5"/>
      <c r="M39" s="5"/>
      <c r="N39" s="5"/>
      <c r="O39" s="5"/>
      <c r="P39" s="5"/>
      <c r="Q39" s="13">
        <f t="shared" si="1"/>
        <v>0</v>
      </c>
      <c r="R39" s="13">
        <f t="shared" si="3"/>
        <v>0</v>
      </c>
      <c r="S39" s="55">
        <v>0</v>
      </c>
      <c r="T39" s="13">
        <f t="shared" si="4"/>
        <v>0</v>
      </c>
      <c r="U39" s="13"/>
      <c r="V39" s="8"/>
      <c r="W39" s="35"/>
    </row>
    <row r="40" spans="2:23" s="4" customFormat="1" ht="17.649999999999999" customHeight="1">
      <c r="B40" s="15"/>
      <c r="C40" s="15"/>
      <c r="D40" s="15"/>
      <c r="E40" s="5"/>
      <c r="F40" s="26"/>
      <c r="G40" s="26"/>
      <c r="H40" s="5"/>
      <c r="I40" s="5"/>
      <c r="J40" s="13">
        <f t="shared" si="0"/>
        <v>0</v>
      </c>
      <c r="K40" s="13">
        <f t="shared" si="2"/>
        <v>0</v>
      </c>
      <c r="L40" s="5"/>
      <c r="M40" s="5"/>
      <c r="N40" s="5"/>
      <c r="O40" s="5"/>
      <c r="P40" s="5"/>
      <c r="Q40" s="13">
        <f t="shared" si="1"/>
        <v>0</v>
      </c>
      <c r="R40" s="13">
        <f t="shared" si="3"/>
        <v>0</v>
      </c>
      <c r="S40" s="55">
        <v>0</v>
      </c>
      <c r="T40" s="13">
        <f t="shared" si="4"/>
        <v>0</v>
      </c>
      <c r="U40" s="13"/>
      <c r="V40" s="8"/>
      <c r="W40" s="35"/>
    </row>
    <row r="41" spans="2:23" s="4" customFormat="1" ht="17.649999999999999" customHeight="1">
      <c r="B41" s="15"/>
      <c r="C41" s="15"/>
      <c r="D41" s="15"/>
      <c r="E41" s="5"/>
      <c r="F41" s="26"/>
      <c r="G41" s="26"/>
      <c r="H41" s="5"/>
      <c r="I41" s="5"/>
      <c r="J41" s="13">
        <f t="shared" si="0"/>
        <v>0</v>
      </c>
      <c r="K41" s="13">
        <f t="shared" si="2"/>
        <v>0</v>
      </c>
      <c r="L41" s="5"/>
      <c r="M41" s="5"/>
      <c r="N41" s="5"/>
      <c r="O41" s="5"/>
      <c r="P41" s="5"/>
      <c r="Q41" s="13">
        <f t="shared" si="1"/>
        <v>0</v>
      </c>
      <c r="R41" s="13">
        <f t="shared" si="3"/>
        <v>0</v>
      </c>
      <c r="S41" s="55">
        <v>0</v>
      </c>
      <c r="T41" s="13">
        <f t="shared" si="4"/>
        <v>0</v>
      </c>
      <c r="U41" s="13"/>
      <c r="V41" s="8"/>
      <c r="W41" s="35"/>
    </row>
    <row r="42" spans="2:23" s="4" customFormat="1" ht="17.649999999999999" customHeight="1">
      <c r="B42" s="15"/>
      <c r="C42" s="15"/>
      <c r="D42" s="15"/>
      <c r="E42" s="5"/>
      <c r="F42" s="26"/>
      <c r="G42" s="26"/>
      <c r="H42" s="5"/>
      <c r="I42" s="5"/>
      <c r="J42" s="13">
        <f t="shared" si="0"/>
        <v>0</v>
      </c>
      <c r="K42" s="13">
        <f t="shared" si="2"/>
        <v>0</v>
      </c>
      <c r="L42" s="5"/>
      <c r="M42" s="5"/>
      <c r="N42" s="5"/>
      <c r="O42" s="5"/>
      <c r="P42" s="5"/>
      <c r="Q42" s="13">
        <f t="shared" ref="Q42:Q73" si="5">SUM(L42:P42)</f>
        <v>0</v>
      </c>
      <c r="R42" s="13">
        <f t="shared" si="3"/>
        <v>0</v>
      </c>
      <c r="S42" s="55">
        <v>0</v>
      </c>
      <c r="T42" s="13">
        <f t="shared" si="4"/>
        <v>0</v>
      </c>
      <c r="U42" s="13"/>
      <c r="V42" s="8"/>
      <c r="W42" s="35"/>
    </row>
    <row r="43" spans="2:23" s="4" customFormat="1" ht="17.649999999999999" customHeight="1">
      <c r="B43" s="15"/>
      <c r="C43" s="15"/>
      <c r="D43" s="15"/>
      <c r="E43" s="5"/>
      <c r="F43" s="26"/>
      <c r="G43" s="26"/>
      <c r="H43" s="5"/>
      <c r="I43" s="5"/>
      <c r="J43" s="13">
        <f t="shared" si="0"/>
        <v>0</v>
      </c>
      <c r="K43" s="13">
        <f t="shared" si="2"/>
        <v>0</v>
      </c>
      <c r="L43" s="5"/>
      <c r="M43" s="5"/>
      <c r="N43" s="5"/>
      <c r="O43" s="5"/>
      <c r="P43" s="5"/>
      <c r="Q43" s="13">
        <f t="shared" si="5"/>
        <v>0</v>
      </c>
      <c r="R43" s="13">
        <f t="shared" si="3"/>
        <v>0</v>
      </c>
      <c r="S43" s="55">
        <v>0</v>
      </c>
      <c r="T43" s="13">
        <f t="shared" si="4"/>
        <v>0</v>
      </c>
      <c r="U43" s="13"/>
      <c r="V43" s="8"/>
      <c r="W43" s="35"/>
    </row>
    <row r="44" spans="2:23" s="4" customFormat="1" ht="17.649999999999999" customHeight="1">
      <c r="B44" s="15"/>
      <c r="C44" s="15"/>
      <c r="D44" s="15"/>
      <c r="E44" s="5"/>
      <c r="F44" s="26"/>
      <c r="G44" s="26"/>
      <c r="H44" s="5"/>
      <c r="I44" s="5"/>
      <c r="J44" s="13">
        <f t="shared" si="0"/>
        <v>0</v>
      </c>
      <c r="K44" s="13">
        <f t="shared" si="2"/>
        <v>0</v>
      </c>
      <c r="L44" s="5"/>
      <c r="M44" s="5"/>
      <c r="N44" s="5"/>
      <c r="O44" s="5"/>
      <c r="P44" s="5"/>
      <c r="Q44" s="13">
        <f t="shared" si="5"/>
        <v>0</v>
      </c>
      <c r="R44" s="13">
        <f t="shared" si="3"/>
        <v>0</v>
      </c>
      <c r="S44" s="55">
        <v>0</v>
      </c>
      <c r="T44" s="13">
        <f t="shared" si="4"/>
        <v>0</v>
      </c>
      <c r="U44" s="13"/>
      <c r="V44" s="8"/>
      <c r="W44" s="35"/>
    </row>
    <row r="45" spans="2:23" s="4" customFormat="1" ht="17.649999999999999" customHeight="1">
      <c r="B45" s="15"/>
      <c r="C45" s="15"/>
      <c r="D45" s="15"/>
      <c r="E45" s="5"/>
      <c r="F45" s="26"/>
      <c r="G45" s="26"/>
      <c r="H45" s="5"/>
      <c r="I45" s="5"/>
      <c r="J45" s="13">
        <f t="shared" si="0"/>
        <v>0</v>
      </c>
      <c r="K45" s="13">
        <f t="shared" si="2"/>
        <v>0</v>
      </c>
      <c r="L45" s="5"/>
      <c r="M45" s="5"/>
      <c r="N45" s="5"/>
      <c r="O45" s="5"/>
      <c r="P45" s="5"/>
      <c r="Q45" s="13">
        <f t="shared" si="5"/>
        <v>0</v>
      </c>
      <c r="R45" s="13">
        <f t="shared" si="3"/>
        <v>0</v>
      </c>
      <c r="S45" s="55">
        <v>0</v>
      </c>
      <c r="T45" s="13">
        <f t="shared" si="4"/>
        <v>0</v>
      </c>
      <c r="U45" s="13"/>
      <c r="V45" s="8"/>
      <c r="W45" s="35"/>
    </row>
    <row r="46" spans="2:23" s="4" customFormat="1" ht="17.649999999999999" customHeight="1">
      <c r="B46" s="15"/>
      <c r="C46" s="15"/>
      <c r="D46" s="15"/>
      <c r="E46" s="5"/>
      <c r="F46" s="26"/>
      <c r="G46" s="26"/>
      <c r="H46" s="5"/>
      <c r="I46" s="5"/>
      <c r="J46" s="13">
        <f t="shared" si="0"/>
        <v>0</v>
      </c>
      <c r="K46" s="13">
        <f t="shared" si="2"/>
        <v>0</v>
      </c>
      <c r="L46" s="5"/>
      <c r="M46" s="5"/>
      <c r="N46" s="5"/>
      <c r="O46" s="5"/>
      <c r="P46" s="5"/>
      <c r="Q46" s="13">
        <f t="shared" si="5"/>
        <v>0</v>
      </c>
      <c r="R46" s="13">
        <f t="shared" si="3"/>
        <v>0</v>
      </c>
      <c r="S46" s="55">
        <v>0</v>
      </c>
      <c r="T46" s="13">
        <f t="shared" si="4"/>
        <v>0</v>
      </c>
      <c r="U46" s="13"/>
      <c r="V46" s="8"/>
      <c r="W46" s="35"/>
    </row>
    <row r="47" spans="2:23" s="4" customFormat="1" ht="17.649999999999999" customHeight="1">
      <c r="B47" s="15"/>
      <c r="C47" s="15"/>
      <c r="D47" s="15"/>
      <c r="E47" s="5"/>
      <c r="F47" s="26"/>
      <c r="G47" s="26"/>
      <c r="H47" s="5"/>
      <c r="I47" s="5"/>
      <c r="J47" s="13">
        <f t="shared" si="0"/>
        <v>0</v>
      </c>
      <c r="K47" s="13">
        <f t="shared" si="2"/>
        <v>0</v>
      </c>
      <c r="L47" s="5"/>
      <c r="M47" s="5"/>
      <c r="N47" s="5"/>
      <c r="O47" s="5"/>
      <c r="P47" s="5"/>
      <c r="Q47" s="13">
        <f t="shared" si="5"/>
        <v>0</v>
      </c>
      <c r="R47" s="13">
        <f t="shared" si="3"/>
        <v>0</v>
      </c>
      <c r="S47" s="55">
        <v>0</v>
      </c>
      <c r="T47" s="13">
        <f t="shared" si="4"/>
        <v>0</v>
      </c>
      <c r="U47" s="13"/>
      <c r="V47" s="8"/>
      <c r="W47" s="35"/>
    </row>
    <row r="48" spans="2:23" s="4" customFormat="1" ht="17.649999999999999" customHeight="1">
      <c r="B48" s="15"/>
      <c r="C48" s="15"/>
      <c r="D48" s="15"/>
      <c r="E48" s="5"/>
      <c r="F48" s="26"/>
      <c r="G48" s="26"/>
      <c r="H48" s="5"/>
      <c r="I48" s="5"/>
      <c r="J48" s="13">
        <f t="shared" si="0"/>
        <v>0</v>
      </c>
      <c r="K48" s="13">
        <f t="shared" si="2"/>
        <v>0</v>
      </c>
      <c r="L48" s="5"/>
      <c r="M48" s="5"/>
      <c r="N48" s="5"/>
      <c r="O48" s="5"/>
      <c r="P48" s="5"/>
      <c r="Q48" s="13">
        <f t="shared" si="5"/>
        <v>0</v>
      </c>
      <c r="R48" s="13">
        <f t="shared" si="3"/>
        <v>0</v>
      </c>
      <c r="S48" s="55">
        <v>0</v>
      </c>
      <c r="T48" s="13">
        <f t="shared" si="4"/>
        <v>0</v>
      </c>
      <c r="U48" s="13"/>
      <c r="V48" s="8"/>
      <c r="W48" s="35"/>
    </row>
    <row r="49" spans="2:23" s="4" customFormat="1" ht="17.649999999999999" customHeight="1">
      <c r="B49" s="15"/>
      <c r="C49" s="15"/>
      <c r="D49" s="15"/>
      <c r="E49" s="5"/>
      <c r="F49" s="26"/>
      <c r="G49" s="26"/>
      <c r="H49" s="5"/>
      <c r="I49" s="5"/>
      <c r="J49" s="13">
        <f t="shared" si="0"/>
        <v>0</v>
      </c>
      <c r="K49" s="13">
        <f t="shared" si="2"/>
        <v>0</v>
      </c>
      <c r="L49" s="5"/>
      <c r="M49" s="5"/>
      <c r="N49" s="5"/>
      <c r="O49" s="5"/>
      <c r="P49" s="5"/>
      <c r="Q49" s="13">
        <f t="shared" si="5"/>
        <v>0</v>
      </c>
      <c r="R49" s="13">
        <f t="shared" si="3"/>
        <v>0</v>
      </c>
      <c r="S49" s="55">
        <v>0</v>
      </c>
      <c r="T49" s="13">
        <f t="shared" si="4"/>
        <v>0</v>
      </c>
      <c r="U49" s="13"/>
      <c r="V49" s="8"/>
      <c r="W49" s="35"/>
    </row>
    <row r="50" spans="2:23" s="4" customFormat="1" ht="17.649999999999999" customHeight="1">
      <c r="B50" s="15"/>
      <c r="C50" s="15"/>
      <c r="D50" s="15"/>
      <c r="E50" s="5"/>
      <c r="F50" s="26"/>
      <c r="G50" s="26"/>
      <c r="H50" s="5"/>
      <c r="I50" s="5"/>
      <c r="J50" s="13">
        <f t="shared" si="0"/>
        <v>0</v>
      </c>
      <c r="K50" s="13">
        <f t="shared" si="2"/>
        <v>0</v>
      </c>
      <c r="L50" s="5"/>
      <c r="M50" s="5"/>
      <c r="N50" s="5"/>
      <c r="O50" s="5"/>
      <c r="P50" s="5"/>
      <c r="Q50" s="13">
        <f t="shared" si="5"/>
        <v>0</v>
      </c>
      <c r="R50" s="13">
        <f t="shared" si="3"/>
        <v>0</v>
      </c>
      <c r="S50" s="55">
        <v>0</v>
      </c>
      <c r="T50" s="13">
        <f t="shared" si="4"/>
        <v>0</v>
      </c>
      <c r="U50" s="13"/>
      <c r="V50" s="8"/>
      <c r="W50" s="35"/>
    </row>
    <row r="51" spans="2:23" s="4" customFormat="1" ht="17.649999999999999" customHeight="1">
      <c r="B51" s="15"/>
      <c r="C51" s="15"/>
      <c r="D51" s="15"/>
      <c r="E51" s="5"/>
      <c r="F51" s="26"/>
      <c r="G51" s="26"/>
      <c r="H51" s="5"/>
      <c r="I51" s="5"/>
      <c r="J51" s="13">
        <f t="shared" si="0"/>
        <v>0</v>
      </c>
      <c r="K51" s="13">
        <f t="shared" si="2"/>
        <v>0</v>
      </c>
      <c r="L51" s="5"/>
      <c r="M51" s="5"/>
      <c r="N51" s="5"/>
      <c r="O51" s="5"/>
      <c r="P51" s="5"/>
      <c r="Q51" s="13">
        <f t="shared" si="5"/>
        <v>0</v>
      </c>
      <c r="R51" s="13">
        <f t="shared" si="3"/>
        <v>0</v>
      </c>
      <c r="S51" s="55">
        <v>0</v>
      </c>
      <c r="T51" s="13">
        <f t="shared" si="4"/>
        <v>0</v>
      </c>
      <c r="U51" s="13"/>
      <c r="V51" s="8"/>
      <c r="W51" s="35"/>
    </row>
    <row r="52" spans="2:23" s="4" customFormat="1" ht="17.649999999999999" customHeight="1">
      <c r="B52" s="15"/>
      <c r="C52" s="15"/>
      <c r="D52" s="15"/>
      <c r="E52" s="5"/>
      <c r="F52" s="26"/>
      <c r="G52" s="26"/>
      <c r="H52" s="5"/>
      <c r="I52" s="5"/>
      <c r="J52" s="13">
        <f t="shared" si="0"/>
        <v>0</v>
      </c>
      <c r="K52" s="13">
        <f t="shared" si="2"/>
        <v>0</v>
      </c>
      <c r="L52" s="5"/>
      <c r="M52" s="5"/>
      <c r="N52" s="5"/>
      <c r="O52" s="5"/>
      <c r="P52" s="5"/>
      <c r="Q52" s="13">
        <f t="shared" si="5"/>
        <v>0</v>
      </c>
      <c r="R52" s="13">
        <f t="shared" si="3"/>
        <v>0</v>
      </c>
      <c r="S52" s="55">
        <v>0</v>
      </c>
      <c r="T52" s="13">
        <f t="shared" si="4"/>
        <v>0</v>
      </c>
      <c r="U52" s="13"/>
      <c r="V52" s="8"/>
      <c r="W52" s="35"/>
    </row>
    <row r="53" spans="2:23" s="4" customFormat="1" ht="17.649999999999999" customHeight="1">
      <c r="B53" s="15"/>
      <c r="C53" s="15"/>
      <c r="D53" s="15"/>
      <c r="E53" s="5"/>
      <c r="F53" s="26"/>
      <c r="G53" s="26"/>
      <c r="H53" s="5"/>
      <c r="I53" s="5"/>
      <c r="J53" s="13">
        <f t="shared" si="0"/>
        <v>0</v>
      </c>
      <c r="K53" s="13">
        <f t="shared" si="2"/>
        <v>0</v>
      </c>
      <c r="L53" s="5"/>
      <c r="M53" s="5"/>
      <c r="N53" s="5"/>
      <c r="O53" s="5"/>
      <c r="P53" s="5"/>
      <c r="Q53" s="13">
        <f t="shared" si="5"/>
        <v>0</v>
      </c>
      <c r="R53" s="13">
        <f t="shared" si="3"/>
        <v>0</v>
      </c>
      <c r="S53" s="55">
        <v>0</v>
      </c>
      <c r="T53" s="13">
        <f t="shared" si="4"/>
        <v>0</v>
      </c>
      <c r="U53" s="13"/>
      <c r="V53" s="8"/>
      <c r="W53" s="35"/>
    </row>
    <row r="54" spans="2:23" s="4" customFormat="1" ht="17.649999999999999" customHeight="1">
      <c r="B54" s="15"/>
      <c r="C54" s="15"/>
      <c r="D54" s="15"/>
      <c r="E54" s="5"/>
      <c r="F54" s="26"/>
      <c r="G54" s="26"/>
      <c r="H54" s="5"/>
      <c r="I54" s="5"/>
      <c r="J54" s="13">
        <f t="shared" si="0"/>
        <v>0</v>
      </c>
      <c r="K54" s="13">
        <f t="shared" si="2"/>
        <v>0</v>
      </c>
      <c r="L54" s="5"/>
      <c r="M54" s="5"/>
      <c r="N54" s="5"/>
      <c r="O54" s="5"/>
      <c r="P54" s="5"/>
      <c r="Q54" s="13">
        <f t="shared" si="5"/>
        <v>0</v>
      </c>
      <c r="R54" s="13">
        <f t="shared" si="3"/>
        <v>0</v>
      </c>
      <c r="S54" s="55">
        <v>0</v>
      </c>
      <c r="T54" s="13">
        <f t="shared" si="4"/>
        <v>0</v>
      </c>
      <c r="U54" s="13"/>
      <c r="V54" s="8"/>
      <c r="W54" s="35"/>
    </row>
    <row r="55" spans="2:23" s="4" customFormat="1" ht="17.649999999999999" customHeight="1">
      <c r="B55" s="15"/>
      <c r="C55" s="15"/>
      <c r="D55" s="15"/>
      <c r="E55" s="5"/>
      <c r="F55" s="26"/>
      <c r="G55" s="26"/>
      <c r="H55" s="5"/>
      <c r="I55" s="5"/>
      <c r="J55" s="13">
        <f t="shared" si="0"/>
        <v>0</v>
      </c>
      <c r="K55" s="13">
        <f t="shared" si="2"/>
        <v>0</v>
      </c>
      <c r="L55" s="5"/>
      <c r="M55" s="5"/>
      <c r="N55" s="5"/>
      <c r="O55" s="5"/>
      <c r="P55" s="5"/>
      <c r="Q55" s="13">
        <f t="shared" si="5"/>
        <v>0</v>
      </c>
      <c r="R55" s="13">
        <f t="shared" si="3"/>
        <v>0</v>
      </c>
      <c r="S55" s="55">
        <v>0</v>
      </c>
      <c r="T55" s="13">
        <f t="shared" si="4"/>
        <v>0</v>
      </c>
      <c r="U55" s="13"/>
      <c r="V55" s="8"/>
      <c r="W55" s="35"/>
    </row>
    <row r="56" spans="2:23" s="4" customFormat="1" ht="17.649999999999999" customHeight="1">
      <c r="B56" s="15"/>
      <c r="C56" s="15"/>
      <c r="D56" s="15"/>
      <c r="E56" s="5"/>
      <c r="F56" s="26"/>
      <c r="G56" s="26"/>
      <c r="H56" s="5"/>
      <c r="I56" s="5"/>
      <c r="J56" s="13">
        <f t="shared" si="0"/>
        <v>0</v>
      </c>
      <c r="K56" s="13">
        <f t="shared" si="2"/>
        <v>0</v>
      </c>
      <c r="L56" s="5"/>
      <c r="M56" s="5"/>
      <c r="N56" s="5"/>
      <c r="O56" s="5"/>
      <c r="P56" s="5"/>
      <c r="Q56" s="13">
        <f t="shared" si="5"/>
        <v>0</v>
      </c>
      <c r="R56" s="13">
        <f t="shared" si="3"/>
        <v>0</v>
      </c>
      <c r="S56" s="55">
        <v>0</v>
      </c>
      <c r="T56" s="13">
        <f t="shared" si="4"/>
        <v>0</v>
      </c>
      <c r="U56" s="13"/>
      <c r="V56" s="8"/>
      <c r="W56" s="35"/>
    </row>
    <row r="57" spans="2:23" s="4" customFormat="1" ht="17.649999999999999" customHeight="1">
      <c r="B57" s="15"/>
      <c r="C57" s="15"/>
      <c r="D57" s="15"/>
      <c r="E57" s="5"/>
      <c r="F57" s="26"/>
      <c r="G57" s="26"/>
      <c r="H57" s="5"/>
      <c r="I57" s="5"/>
      <c r="J57" s="13">
        <f t="shared" si="0"/>
        <v>0</v>
      </c>
      <c r="K57" s="13">
        <f t="shared" si="2"/>
        <v>0</v>
      </c>
      <c r="L57" s="5"/>
      <c r="M57" s="5"/>
      <c r="N57" s="5"/>
      <c r="O57" s="5"/>
      <c r="P57" s="5"/>
      <c r="Q57" s="13">
        <f t="shared" si="5"/>
        <v>0</v>
      </c>
      <c r="R57" s="13">
        <f t="shared" si="3"/>
        <v>0</v>
      </c>
      <c r="S57" s="55">
        <v>0</v>
      </c>
      <c r="T57" s="13">
        <f t="shared" si="4"/>
        <v>0</v>
      </c>
      <c r="U57" s="13"/>
      <c r="V57" s="8"/>
      <c r="W57" s="35"/>
    </row>
    <row r="58" spans="2:23" s="4" customFormat="1" ht="17.649999999999999" customHeight="1">
      <c r="B58" s="15"/>
      <c r="C58" s="15"/>
      <c r="D58" s="15"/>
      <c r="E58" s="5"/>
      <c r="F58" s="26"/>
      <c r="G58" s="26"/>
      <c r="H58" s="5"/>
      <c r="I58" s="5"/>
      <c r="J58" s="13">
        <f t="shared" si="0"/>
        <v>0</v>
      </c>
      <c r="K58" s="13">
        <f t="shared" si="2"/>
        <v>0</v>
      </c>
      <c r="L58" s="5"/>
      <c r="M58" s="5"/>
      <c r="N58" s="5"/>
      <c r="O58" s="5"/>
      <c r="P58" s="5"/>
      <c r="Q58" s="13">
        <f t="shared" si="5"/>
        <v>0</v>
      </c>
      <c r="R58" s="13">
        <f t="shared" si="3"/>
        <v>0</v>
      </c>
      <c r="S58" s="55">
        <v>0</v>
      </c>
      <c r="T58" s="13">
        <f t="shared" si="4"/>
        <v>0</v>
      </c>
      <c r="U58" s="13"/>
      <c r="V58" s="8"/>
      <c r="W58" s="35"/>
    </row>
    <row r="59" spans="2:23" s="4" customFormat="1" ht="17.649999999999999" customHeight="1">
      <c r="B59" s="15"/>
      <c r="C59" s="15"/>
      <c r="D59" s="15"/>
      <c r="E59" s="5"/>
      <c r="F59" s="26"/>
      <c r="G59" s="26"/>
      <c r="H59" s="5"/>
      <c r="I59" s="5"/>
      <c r="J59" s="13">
        <f t="shared" si="0"/>
        <v>0</v>
      </c>
      <c r="K59" s="13">
        <f t="shared" si="2"/>
        <v>0</v>
      </c>
      <c r="L59" s="5"/>
      <c r="M59" s="5"/>
      <c r="N59" s="5"/>
      <c r="O59" s="5"/>
      <c r="P59" s="5"/>
      <c r="Q59" s="13">
        <f t="shared" si="5"/>
        <v>0</v>
      </c>
      <c r="R59" s="13">
        <f t="shared" si="3"/>
        <v>0</v>
      </c>
      <c r="S59" s="55">
        <v>0</v>
      </c>
      <c r="T59" s="13">
        <f t="shared" si="4"/>
        <v>0</v>
      </c>
      <c r="U59" s="13"/>
      <c r="V59" s="8"/>
      <c r="W59" s="35"/>
    </row>
    <row r="60" spans="2:23" s="4" customFormat="1" ht="17.649999999999999" customHeight="1">
      <c r="B60" s="15"/>
      <c r="C60" s="15"/>
      <c r="D60" s="15"/>
      <c r="E60" s="5"/>
      <c r="F60" s="26"/>
      <c r="G60" s="26"/>
      <c r="H60" s="5"/>
      <c r="I60" s="5"/>
      <c r="J60" s="13">
        <f t="shared" si="0"/>
        <v>0</v>
      </c>
      <c r="K60" s="13">
        <f t="shared" si="2"/>
        <v>0</v>
      </c>
      <c r="L60" s="5"/>
      <c r="M60" s="5"/>
      <c r="N60" s="5"/>
      <c r="O60" s="5"/>
      <c r="P60" s="5"/>
      <c r="Q60" s="13">
        <f t="shared" si="5"/>
        <v>0</v>
      </c>
      <c r="R60" s="13">
        <f t="shared" si="3"/>
        <v>0</v>
      </c>
      <c r="S60" s="55">
        <v>0</v>
      </c>
      <c r="T60" s="13">
        <f t="shared" si="4"/>
        <v>0</v>
      </c>
      <c r="U60" s="13"/>
      <c r="V60" s="8"/>
      <c r="W60" s="35"/>
    </row>
    <row r="61" spans="2:23" s="4" customFormat="1" ht="17.649999999999999" customHeight="1">
      <c r="B61" s="15"/>
      <c r="C61" s="15"/>
      <c r="D61" s="15"/>
      <c r="E61" s="5"/>
      <c r="F61" s="26"/>
      <c r="G61" s="26"/>
      <c r="H61" s="5"/>
      <c r="I61" s="5"/>
      <c r="J61" s="13">
        <f t="shared" si="0"/>
        <v>0</v>
      </c>
      <c r="K61" s="13">
        <f t="shared" si="2"/>
        <v>0</v>
      </c>
      <c r="L61" s="5"/>
      <c r="M61" s="5"/>
      <c r="N61" s="5"/>
      <c r="O61" s="5"/>
      <c r="P61" s="5"/>
      <c r="Q61" s="13">
        <f t="shared" si="5"/>
        <v>0</v>
      </c>
      <c r="R61" s="13">
        <f t="shared" si="3"/>
        <v>0</v>
      </c>
      <c r="S61" s="55">
        <v>0</v>
      </c>
      <c r="T61" s="13">
        <f t="shared" si="4"/>
        <v>0</v>
      </c>
      <c r="U61" s="13"/>
      <c r="V61" s="8"/>
      <c r="W61" s="35"/>
    </row>
    <row r="62" spans="2:23" s="4" customFormat="1" ht="17.649999999999999" customHeight="1">
      <c r="B62" s="15"/>
      <c r="C62" s="15"/>
      <c r="D62" s="15"/>
      <c r="E62" s="5"/>
      <c r="F62" s="26"/>
      <c r="G62" s="26"/>
      <c r="H62" s="5"/>
      <c r="I62" s="5"/>
      <c r="J62" s="13">
        <f t="shared" si="0"/>
        <v>0</v>
      </c>
      <c r="K62" s="13">
        <f t="shared" si="2"/>
        <v>0</v>
      </c>
      <c r="L62" s="5"/>
      <c r="M62" s="5"/>
      <c r="N62" s="5"/>
      <c r="O62" s="5"/>
      <c r="P62" s="5"/>
      <c r="Q62" s="13">
        <f t="shared" si="5"/>
        <v>0</v>
      </c>
      <c r="R62" s="13">
        <f t="shared" si="3"/>
        <v>0</v>
      </c>
      <c r="S62" s="55">
        <v>0</v>
      </c>
      <c r="T62" s="13">
        <f t="shared" si="4"/>
        <v>0</v>
      </c>
      <c r="U62" s="13"/>
      <c r="V62" s="8"/>
      <c r="W62" s="35"/>
    </row>
    <row r="63" spans="2:23" s="4" customFormat="1" ht="17.649999999999999" customHeight="1">
      <c r="B63" s="15"/>
      <c r="C63" s="15"/>
      <c r="D63" s="15"/>
      <c r="E63" s="5"/>
      <c r="F63" s="26"/>
      <c r="G63" s="26"/>
      <c r="H63" s="5"/>
      <c r="I63" s="5"/>
      <c r="J63" s="13">
        <f t="shared" si="0"/>
        <v>0</v>
      </c>
      <c r="K63" s="13">
        <f t="shared" si="2"/>
        <v>0</v>
      </c>
      <c r="L63" s="5"/>
      <c r="M63" s="5"/>
      <c r="N63" s="5"/>
      <c r="O63" s="5"/>
      <c r="P63" s="5"/>
      <c r="Q63" s="13">
        <f t="shared" si="5"/>
        <v>0</v>
      </c>
      <c r="R63" s="13">
        <f t="shared" si="3"/>
        <v>0</v>
      </c>
      <c r="S63" s="55">
        <v>0</v>
      </c>
      <c r="T63" s="13">
        <f t="shared" si="4"/>
        <v>0</v>
      </c>
      <c r="U63" s="13"/>
      <c r="V63" s="8"/>
      <c r="W63" s="35"/>
    </row>
    <row r="64" spans="2:23" s="4" customFormat="1" ht="17.649999999999999" customHeight="1">
      <c r="B64" s="15"/>
      <c r="C64" s="15"/>
      <c r="D64" s="15"/>
      <c r="E64" s="5"/>
      <c r="F64" s="26"/>
      <c r="G64" s="26"/>
      <c r="H64" s="5"/>
      <c r="I64" s="5"/>
      <c r="J64" s="13">
        <f t="shared" si="0"/>
        <v>0</v>
      </c>
      <c r="K64" s="13">
        <f t="shared" si="2"/>
        <v>0</v>
      </c>
      <c r="L64" s="5"/>
      <c r="M64" s="5"/>
      <c r="N64" s="5"/>
      <c r="O64" s="5"/>
      <c r="P64" s="5"/>
      <c r="Q64" s="13">
        <f t="shared" si="5"/>
        <v>0</v>
      </c>
      <c r="R64" s="13">
        <f t="shared" si="3"/>
        <v>0</v>
      </c>
      <c r="S64" s="55">
        <v>0</v>
      </c>
      <c r="T64" s="13">
        <f t="shared" si="4"/>
        <v>0</v>
      </c>
      <c r="U64" s="13"/>
      <c r="V64" s="8"/>
      <c r="W64" s="35"/>
    </row>
    <row r="65" spans="2:23" s="4" customFormat="1" ht="17.649999999999999" customHeight="1">
      <c r="B65" s="15"/>
      <c r="C65" s="15"/>
      <c r="D65" s="15"/>
      <c r="E65" s="5"/>
      <c r="F65" s="26"/>
      <c r="G65" s="26"/>
      <c r="H65" s="5"/>
      <c r="I65" s="5"/>
      <c r="J65" s="13">
        <f t="shared" si="0"/>
        <v>0</v>
      </c>
      <c r="K65" s="13">
        <f t="shared" si="2"/>
        <v>0</v>
      </c>
      <c r="L65" s="5"/>
      <c r="M65" s="5"/>
      <c r="N65" s="5"/>
      <c r="O65" s="5"/>
      <c r="P65" s="5"/>
      <c r="Q65" s="13">
        <f t="shared" si="5"/>
        <v>0</v>
      </c>
      <c r="R65" s="13">
        <f t="shared" si="3"/>
        <v>0</v>
      </c>
      <c r="S65" s="55">
        <v>0</v>
      </c>
      <c r="T65" s="13">
        <f t="shared" si="4"/>
        <v>0</v>
      </c>
      <c r="U65" s="13"/>
      <c r="V65" s="8"/>
      <c r="W65" s="35"/>
    </row>
    <row r="66" spans="2:23" s="4" customFormat="1" ht="17.649999999999999" customHeight="1">
      <c r="B66" s="15"/>
      <c r="C66" s="15"/>
      <c r="D66" s="15"/>
      <c r="E66" s="5"/>
      <c r="F66" s="26"/>
      <c r="G66" s="26"/>
      <c r="H66" s="5"/>
      <c r="I66" s="5"/>
      <c r="J66" s="13">
        <f t="shared" si="0"/>
        <v>0</v>
      </c>
      <c r="K66" s="13">
        <f>E66+J66</f>
        <v>0</v>
      </c>
      <c r="L66" s="5"/>
      <c r="M66" s="5"/>
      <c r="N66" s="5"/>
      <c r="O66" s="5"/>
      <c r="P66" s="5"/>
      <c r="Q66" s="13">
        <f t="shared" si="5"/>
        <v>0</v>
      </c>
      <c r="R66" s="13">
        <f t="shared" si="3"/>
        <v>0</v>
      </c>
      <c r="S66" s="55">
        <v>0</v>
      </c>
      <c r="T66" s="13">
        <f t="shared" si="4"/>
        <v>0</v>
      </c>
      <c r="U66" s="13"/>
      <c r="V66" s="8"/>
      <c r="W66" s="35"/>
    </row>
    <row r="67" spans="2:23" s="4" customFormat="1" ht="17.649999999999999" customHeight="1">
      <c r="B67" s="15"/>
      <c r="C67" s="15"/>
      <c r="D67" s="15"/>
      <c r="E67" s="5"/>
      <c r="F67" s="26"/>
      <c r="G67" s="26"/>
      <c r="H67" s="5"/>
      <c r="I67" s="5"/>
      <c r="J67" s="13">
        <f t="shared" si="0"/>
        <v>0</v>
      </c>
      <c r="K67" s="13">
        <f t="shared" si="2"/>
        <v>0</v>
      </c>
      <c r="L67" s="5"/>
      <c r="M67" s="5"/>
      <c r="N67" s="5"/>
      <c r="O67" s="5"/>
      <c r="P67" s="5"/>
      <c r="Q67" s="13">
        <f t="shared" si="5"/>
        <v>0</v>
      </c>
      <c r="R67" s="13">
        <f t="shared" si="3"/>
        <v>0</v>
      </c>
      <c r="S67" s="55">
        <v>0</v>
      </c>
      <c r="T67" s="13">
        <f t="shared" si="4"/>
        <v>0</v>
      </c>
      <c r="U67" s="13"/>
      <c r="V67" s="8"/>
      <c r="W67" s="35"/>
    </row>
    <row r="68" spans="2:23" s="4" customFormat="1" ht="17.649999999999999" customHeight="1">
      <c r="B68" s="15"/>
      <c r="C68" s="15"/>
      <c r="D68" s="15"/>
      <c r="E68" s="5"/>
      <c r="F68" s="26"/>
      <c r="G68" s="26"/>
      <c r="H68" s="5"/>
      <c r="I68" s="5"/>
      <c r="J68" s="13">
        <f t="shared" si="0"/>
        <v>0</v>
      </c>
      <c r="K68" s="13">
        <f t="shared" si="2"/>
        <v>0</v>
      </c>
      <c r="L68" s="5"/>
      <c r="M68" s="5"/>
      <c r="N68" s="5"/>
      <c r="O68" s="5"/>
      <c r="P68" s="5"/>
      <c r="Q68" s="13">
        <f t="shared" si="5"/>
        <v>0</v>
      </c>
      <c r="R68" s="13">
        <f t="shared" si="3"/>
        <v>0</v>
      </c>
      <c r="S68" s="55">
        <v>0</v>
      </c>
      <c r="T68" s="13">
        <f t="shared" si="4"/>
        <v>0</v>
      </c>
      <c r="U68" s="13"/>
      <c r="V68" s="8"/>
      <c r="W68" s="35"/>
    </row>
    <row r="69" spans="2:23" s="4" customFormat="1" ht="17.649999999999999" customHeight="1">
      <c r="B69" s="15"/>
      <c r="C69" s="15"/>
      <c r="D69" s="15"/>
      <c r="E69" s="5"/>
      <c r="F69" s="26"/>
      <c r="G69" s="26"/>
      <c r="H69" s="5"/>
      <c r="I69" s="5"/>
      <c r="J69" s="13">
        <f t="shared" si="0"/>
        <v>0</v>
      </c>
      <c r="K69" s="13">
        <f t="shared" si="2"/>
        <v>0</v>
      </c>
      <c r="L69" s="5"/>
      <c r="M69" s="5"/>
      <c r="N69" s="5"/>
      <c r="O69" s="5"/>
      <c r="P69" s="5"/>
      <c r="Q69" s="13">
        <f t="shared" si="5"/>
        <v>0</v>
      </c>
      <c r="R69" s="13">
        <f t="shared" si="3"/>
        <v>0</v>
      </c>
      <c r="S69" s="55">
        <v>0</v>
      </c>
      <c r="T69" s="13">
        <f t="shared" si="4"/>
        <v>0</v>
      </c>
      <c r="U69" s="13"/>
      <c r="V69" s="8"/>
      <c r="W69" s="35"/>
    </row>
    <row r="70" spans="2:23" s="4" customFormat="1" ht="17.649999999999999" customHeight="1">
      <c r="B70" s="15"/>
      <c r="C70" s="15"/>
      <c r="D70" s="15"/>
      <c r="E70" s="5"/>
      <c r="F70" s="26"/>
      <c r="G70" s="26"/>
      <c r="H70" s="5"/>
      <c r="I70" s="5"/>
      <c r="J70" s="13">
        <f t="shared" si="0"/>
        <v>0</v>
      </c>
      <c r="K70" s="13">
        <f t="shared" si="2"/>
        <v>0</v>
      </c>
      <c r="L70" s="5"/>
      <c r="M70" s="5"/>
      <c r="N70" s="5"/>
      <c r="O70" s="5"/>
      <c r="P70" s="5"/>
      <c r="Q70" s="13">
        <f t="shared" si="5"/>
        <v>0</v>
      </c>
      <c r="R70" s="13">
        <f t="shared" si="3"/>
        <v>0</v>
      </c>
      <c r="S70" s="55">
        <v>0</v>
      </c>
      <c r="T70" s="13">
        <f t="shared" si="4"/>
        <v>0</v>
      </c>
      <c r="U70" s="13"/>
      <c r="V70" s="8"/>
      <c r="W70" s="35"/>
    </row>
    <row r="71" spans="2:23" s="4" customFormat="1" ht="17.649999999999999" customHeight="1">
      <c r="B71" s="15"/>
      <c r="C71" s="15"/>
      <c r="D71" s="15"/>
      <c r="E71" s="5"/>
      <c r="F71" s="26"/>
      <c r="G71" s="26"/>
      <c r="H71" s="5"/>
      <c r="I71" s="5"/>
      <c r="J71" s="13">
        <f t="shared" si="0"/>
        <v>0</v>
      </c>
      <c r="K71" s="13">
        <f t="shared" si="2"/>
        <v>0</v>
      </c>
      <c r="L71" s="5"/>
      <c r="M71" s="5"/>
      <c r="N71" s="5"/>
      <c r="O71" s="5"/>
      <c r="P71" s="5"/>
      <c r="Q71" s="13">
        <f t="shared" si="5"/>
        <v>0</v>
      </c>
      <c r="R71" s="13">
        <f t="shared" si="3"/>
        <v>0</v>
      </c>
      <c r="S71" s="55">
        <v>0</v>
      </c>
      <c r="T71" s="13">
        <f t="shared" si="4"/>
        <v>0</v>
      </c>
      <c r="U71" s="13"/>
      <c r="V71" s="8"/>
      <c r="W71" s="35"/>
    </row>
    <row r="72" spans="2:23" s="4" customFormat="1" ht="17.649999999999999" customHeight="1">
      <c r="B72" s="15"/>
      <c r="C72" s="15"/>
      <c r="D72" s="15"/>
      <c r="E72" s="5"/>
      <c r="F72" s="26"/>
      <c r="G72" s="26"/>
      <c r="H72" s="5"/>
      <c r="I72" s="5"/>
      <c r="J72" s="13">
        <f t="shared" si="0"/>
        <v>0</v>
      </c>
      <c r="K72" s="13">
        <f t="shared" si="2"/>
        <v>0</v>
      </c>
      <c r="L72" s="5"/>
      <c r="M72" s="5"/>
      <c r="N72" s="5"/>
      <c r="O72" s="5"/>
      <c r="P72" s="5"/>
      <c r="Q72" s="13">
        <f t="shared" si="5"/>
        <v>0</v>
      </c>
      <c r="R72" s="13">
        <f t="shared" si="3"/>
        <v>0</v>
      </c>
      <c r="S72" s="55">
        <v>0</v>
      </c>
      <c r="T72" s="13">
        <f t="shared" si="4"/>
        <v>0</v>
      </c>
      <c r="U72" s="13"/>
      <c r="V72" s="8"/>
      <c r="W72" s="35"/>
    </row>
    <row r="73" spans="2:23" s="4" customFormat="1" ht="17.649999999999999" customHeight="1">
      <c r="B73" s="15"/>
      <c r="C73" s="15"/>
      <c r="D73" s="15"/>
      <c r="E73" s="5"/>
      <c r="F73" s="26"/>
      <c r="G73" s="26"/>
      <c r="H73" s="5"/>
      <c r="I73" s="5"/>
      <c r="J73" s="13">
        <f t="shared" si="0"/>
        <v>0</v>
      </c>
      <c r="K73" s="13">
        <f t="shared" si="2"/>
        <v>0</v>
      </c>
      <c r="L73" s="5"/>
      <c r="M73" s="5"/>
      <c r="N73" s="5"/>
      <c r="O73" s="5"/>
      <c r="P73" s="5"/>
      <c r="Q73" s="13">
        <f t="shared" si="5"/>
        <v>0</v>
      </c>
      <c r="R73" s="13">
        <f t="shared" si="3"/>
        <v>0</v>
      </c>
      <c r="S73" s="55">
        <v>0</v>
      </c>
      <c r="T73" s="13">
        <f t="shared" si="4"/>
        <v>0</v>
      </c>
      <c r="U73" s="13"/>
      <c r="V73" s="8"/>
      <c r="W73" s="35"/>
    </row>
    <row r="74" spans="2:23" s="4" customFormat="1" ht="17.649999999999999" customHeight="1">
      <c r="B74" s="15"/>
      <c r="C74" s="15"/>
      <c r="D74" s="15"/>
      <c r="E74" s="5"/>
      <c r="F74" s="26"/>
      <c r="G74" s="26"/>
      <c r="H74" s="5"/>
      <c r="I74" s="5"/>
      <c r="J74" s="13">
        <f t="shared" ref="J74:J103" si="6">I74+H74</f>
        <v>0</v>
      </c>
      <c r="K74" s="13">
        <f t="shared" si="2"/>
        <v>0</v>
      </c>
      <c r="L74" s="5"/>
      <c r="M74" s="5"/>
      <c r="N74" s="5"/>
      <c r="O74" s="5"/>
      <c r="P74" s="5"/>
      <c r="Q74" s="13">
        <f t="shared" ref="Q74:Q103" si="7">SUM(L74:P74)</f>
        <v>0</v>
      </c>
      <c r="R74" s="13">
        <f t="shared" si="3"/>
        <v>0</v>
      </c>
      <c r="S74" s="55">
        <v>0</v>
      </c>
      <c r="T74" s="13">
        <f t="shared" si="4"/>
        <v>0</v>
      </c>
      <c r="U74" s="13"/>
      <c r="V74" s="8"/>
      <c r="W74" s="35"/>
    </row>
    <row r="75" spans="2:23" s="4" customFormat="1" ht="17.649999999999999" customHeight="1">
      <c r="B75" s="15"/>
      <c r="C75" s="15"/>
      <c r="D75" s="15"/>
      <c r="E75" s="5"/>
      <c r="F75" s="26"/>
      <c r="G75" s="26"/>
      <c r="H75" s="5"/>
      <c r="I75" s="5"/>
      <c r="J75" s="13">
        <f t="shared" si="6"/>
        <v>0</v>
      </c>
      <c r="K75" s="13">
        <f t="shared" ref="K75:K103" si="8">E75+J75</f>
        <v>0</v>
      </c>
      <c r="L75" s="5"/>
      <c r="M75" s="5"/>
      <c r="N75" s="5"/>
      <c r="O75" s="5"/>
      <c r="P75" s="5"/>
      <c r="Q75" s="13">
        <f t="shared" si="7"/>
        <v>0</v>
      </c>
      <c r="R75" s="13">
        <f t="shared" ref="R75:R103" si="9">SUM(K75,Q75)</f>
        <v>0</v>
      </c>
      <c r="S75" s="55">
        <v>0</v>
      </c>
      <c r="T75" s="13">
        <f t="shared" ref="T75:T103" si="10">SUM(R75,S75)</f>
        <v>0</v>
      </c>
      <c r="U75" s="13"/>
      <c r="V75" s="8"/>
      <c r="W75" s="35"/>
    </row>
    <row r="76" spans="2:23" s="4" customFormat="1" ht="17.649999999999999" customHeight="1">
      <c r="B76" s="15"/>
      <c r="C76" s="15"/>
      <c r="D76" s="15"/>
      <c r="E76" s="5"/>
      <c r="F76" s="26"/>
      <c r="G76" s="26"/>
      <c r="H76" s="5"/>
      <c r="I76" s="5"/>
      <c r="J76" s="13">
        <f t="shared" si="6"/>
        <v>0</v>
      </c>
      <c r="K76" s="13">
        <f t="shared" si="8"/>
        <v>0</v>
      </c>
      <c r="L76" s="5"/>
      <c r="M76" s="5"/>
      <c r="N76" s="5"/>
      <c r="O76" s="5"/>
      <c r="P76" s="5"/>
      <c r="Q76" s="13">
        <f t="shared" si="7"/>
        <v>0</v>
      </c>
      <c r="R76" s="13">
        <f t="shared" si="9"/>
        <v>0</v>
      </c>
      <c r="S76" s="55">
        <v>0</v>
      </c>
      <c r="T76" s="13">
        <f t="shared" si="10"/>
        <v>0</v>
      </c>
      <c r="U76" s="13"/>
      <c r="V76" s="8"/>
      <c r="W76" s="35"/>
    </row>
    <row r="77" spans="2:23" s="4" customFormat="1" ht="17.649999999999999" customHeight="1">
      <c r="B77" s="15"/>
      <c r="C77" s="15"/>
      <c r="D77" s="15"/>
      <c r="E77" s="5"/>
      <c r="F77" s="26"/>
      <c r="G77" s="26"/>
      <c r="H77" s="5"/>
      <c r="I77" s="5"/>
      <c r="J77" s="13">
        <f t="shared" si="6"/>
        <v>0</v>
      </c>
      <c r="K77" s="13">
        <f t="shared" si="8"/>
        <v>0</v>
      </c>
      <c r="L77" s="5"/>
      <c r="M77" s="5"/>
      <c r="N77" s="5"/>
      <c r="O77" s="5"/>
      <c r="P77" s="5"/>
      <c r="Q77" s="13">
        <f t="shared" si="7"/>
        <v>0</v>
      </c>
      <c r="R77" s="13">
        <f t="shared" si="9"/>
        <v>0</v>
      </c>
      <c r="S77" s="55">
        <v>0</v>
      </c>
      <c r="T77" s="13">
        <f t="shared" si="10"/>
        <v>0</v>
      </c>
      <c r="U77" s="13"/>
      <c r="V77" s="8"/>
      <c r="W77" s="35"/>
    </row>
    <row r="78" spans="2:23" s="4" customFormat="1" ht="17.649999999999999" customHeight="1">
      <c r="B78" s="15"/>
      <c r="C78" s="15"/>
      <c r="D78" s="15"/>
      <c r="E78" s="5"/>
      <c r="F78" s="26"/>
      <c r="G78" s="26"/>
      <c r="H78" s="5"/>
      <c r="I78" s="5"/>
      <c r="J78" s="13">
        <f t="shared" si="6"/>
        <v>0</v>
      </c>
      <c r="K78" s="13">
        <f t="shared" si="8"/>
        <v>0</v>
      </c>
      <c r="L78" s="5"/>
      <c r="M78" s="5"/>
      <c r="N78" s="5"/>
      <c r="O78" s="5"/>
      <c r="P78" s="5"/>
      <c r="Q78" s="13">
        <f t="shared" si="7"/>
        <v>0</v>
      </c>
      <c r="R78" s="13">
        <f t="shared" si="9"/>
        <v>0</v>
      </c>
      <c r="S78" s="55">
        <v>0</v>
      </c>
      <c r="T78" s="13">
        <f t="shared" si="10"/>
        <v>0</v>
      </c>
      <c r="U78" s="13"/>
      <c r="V78" s="8"/>
      <c r="W78" s="35"/>
    </row>
    <row r="79" spans="2:23" s="4" customFormat="1" ht="17.25" customHeight="1">
      <c r="B79" s="15"/>
      <c r="C79" s="15"/>
      <c r="D79" s="15"/>
      <c r="E79" s="5"/>
      <c r="F79" s="26"/>
      <c r="G79" s="26"/>
      <c r="H79" s="5"/>
      <c r="I79" s="5"/>
      <c r="J79" s="13">
        <f t="shared" si="6"/>
        <v>0</v>
      </c>
      <c r="K79" s="13">
        <f t="shared" si="8"/>
        <v>0</v>
      </c>
      <c r="L79" s="5"/>
      <c r="M79" s="5"/>
      <c r="N79" s="5"/>
      <c r="O79" s="5"/>
      <c r="P79" s="5"/>
      <c r="Q79" s="13">
        <f t="shared" si="7"/>
        <v>0</v>
      </c>
      <c r="R79" s="13">
        <f t="shared" si="9"/>
        <v>0</v>
      </c>
      <c r="S79" s="55">
        <v>0</v>
      </c>
      <c r="T79" s="13">
        <f t="shared" si="10"/>
        <v>0</v>
      </c>
      <c r="U79" s="13"/>
      <c r="V79" s="8"/>
      <c r="W79" s="35"/>
    </row>
    <row r="80" spans="2:23" s="4" customFormat="1" ht="17.649999999999999" customHeight="1">
      <c r="B80" s="15"/>
      <c r="C80" s="15"/>
      <c r="D80" s="15"/>
      <c r="E80" s="5"/>
      <c r="F80" s="26"/>
      <c r="G80" s="26"/>
      <c r="H80" s="5"/>
      <c r="I80" s="5"/>
      <c r="J80" s="13">
        <f t="shared" si="6"/>
        <v>0</v>
      </c>
      <c r="K80" s="13">
        <f t="shared" si="8"/>
        <v>0</v>
      </c>
      <c r="L80" s="5"/>
      <c r="M80" s="5"/>
      <c r="N80" s="5"/>
      <c r="O80" s="5"/>
      <c r="P80" s="5"/>
      <c r="Q80" s="13">
        <f t="shared" si="7"/>
        <v>0</v>
      </c>
      <c r="R80" s="13">
        <f t="shared" si="9"/>
        <v>0</v>
      </c>
      <c r="S80" s="55">
        <v>0</v>
      </c>
      <c r="T80" s="13">
        <f t="shared" si="10"/>
        <v>0</v>
      </c>
      <c r="U80" s="13"/>
      <c r="V80" s="8"/>
      <c r="W80" s="35"/>
    </row>
    <row r="81" spans="2:23" s="4" customFormat="1" ht="17.649999999999999" customHeight="1">
      <c r="B81" s="15"/>
      <c r="C81" s="15"/>
      <c r="D81" s="15"/>
      <c r="E81" s="5"/>
      <c r="F81" s="26"/>
      <c r="G81" s="26"/>
      <c r="H81" s="5"/>
      <c r="I81" s="5"/>
      <c r="J81" s="13">
        <f t="shared" si="6"/>
        <v>0</v>
      </c>
      <c r="K81" s="13">
        <f t="shared" si="8"/>
        <v>0</v>
      </c>
      <c r="L81" s="5"/>
      <c r="M81" s="5"/>
      <c r="N81" s="5"/>
      <c r="O81" s="5"/>
      <c r="P81" s="5"/>
      <c r="Q81" s="13">
        <f t="shared" si="7"/>
        <v>0</v>
      </c>
      <c r="R81" s="13">
        <f t="shared" si="9"/>
        <v>0</v>
      </c>
      <c r="S81" s="55">
        <v>0</v>
      </c>
      <c r="T81" s="13">
        <f t="shared" si="10"/>
        <v>0</v>
      </c>
      <c r="U81" s="13"/>
      <c r="V81" s="8"/>
      <c r="W81" s="35"/>
    </row>
    <row r="82" spans="2:23" s="4" customFormat="1" ht="17.649999999999999" customHeight="1">
      <c r="B82" s="15"/>
      <c r="C82" s="15"/>
      <c r="D82" s="15"/>
      <c r="E82" s="5"/>
      <c r="F82" s="26"/>
      <c r="G82" s="26"/>
      <c r="H82" s="5"/>
      <c r="I82" s="5"/>
      <c r="J82" s="13">
        <f t="shared" si="6"/>
        <v>0</v>
      </c>
      <c r="K82" s="13">
        <f t="shared" si="8"/>
        <v>0</v>
      </c>
      <c r="L82" s="5"/>
      <c r="M82" s="5"/>
      <c r="N82" s="5"/>
      <c r="O82" s="5"/>
      <c r="P82" s="5"/>
      <c r="Q82" s="13">
        <f t="shared" si="7"/>
        <v>0</v>
      </c>
      <c r="R82" s="13">
        <f t="shared" si="9"/>
        <v>0</v>
      </c>
      <c r="S82" s="55">
        <v>0</v>
      </c>
      <c r="T82" s="13">
        <f t="shared" si="10"/>
        <v>0</v>
      </c>
      <c r="U82" s="13"/>
      <c r="V82" s="8"/>
      <c r="W82" s="35"/>
    </row>
    <row r="83" spans="2:23" s="4" customFormat="1" ht="17.649999999999999" customHeight="1">
      <c r="B83" s="15"/>
      <c r="C83" s="15"/>
      <c r="D83" s="15"/>
      <c r="E83" s="5"/>
      <c r="F83" s="26"/>
      <c r="G83" s="26"/>
      <c r="H83" s="5"/>
      <c r="I83" s="5"/>
      <c r="J83" s="13">
        <f t="shared" si="6"/>
        <v>0</v>
      </c>
      <c r="K83" s="13">
        <f t="shared" si="8"/>
        <v>0</v>
      </c>
      <c r="L83" s="5"/>
      <c r="M83" s="5"/>
      <c r="N83" s="5"/>
      <c r="O83" s="5"/>
      <c r="P83" s="5"/>
      <c r="Q83" s="13">
        <f t="shared" si="7"/>
        <v>0</v>
      </c>
      <c r="R83" s="13">
        <f t="shared" si="9"/>
        <v>0</v>
      </c>
      <c r="S83" s="55">
        <v>0</v>
      </c>
      <c r="T83" s="13">
        <f t="shared" si="10"/>
        <v>0</v>
      </c>
      <c r="U83" s="13"/>
      <c r="V83" s="8"/>
      <c r="W83" s="35"/>
    </row>
    <row r="84" spans="2:23" s="4" customFormat="1" ht="17.649999999999999" customHeight="1">
      <c r="B84" s="15"/>
      <c r="C84" s="15"/>
      <c r="D84" s="15"/>
      <c r="E84" s="5"/>
      <c r="F84" s="26"/>
      <c r="G84" s="26"/>
      <c r="H84" s="5"/>
      <c r="I84" s="5"/>
      <c r="J84" s="13">
        <f t="shared" si="6"/>
        <v>0</v>
      </c>
      <c r="K84" s="13">
        <f t="shared" si="8"/>
        <v>0</v>
      </c>
      <c r="L84" s="5"/>
      <c r="M84" s="5"/>
      <c r="N84" s="5"/>
      <c r="O84" s="5"/>
      <c r="P84" s="5"/>
      <c r="Q84" s="13">
        <f t="shared" si="7"/>
        <v>0</v>
      </c>
      <c r="R84" s="13">
        <f t="shared" si="9"/>
        <v>0</v>
      </c>
      <c r="S84" s="55">
        <v>0</v>
      </c>
      <c r="T84" s="13">
        <f t="shared" si="10"/>
        <v>0</v>
      </c>
      <c r="U84" s="13"/>
      <c r="V84" s="8"/>
      <c r="W84" s="35"/>
    </row>
    <row r="85" spans="2:23" s="4" customFormat="1" ht="17.649999999999999" customHeight="1">
      <c r="B85" s="15"/>
      <c r="C85" s="15"/>
      <c r="D85" s="15"/>
      <c r="E85" s="5"/>
      <c r="F85" s="26"/>
      <c r="G85" s="26"/>
      <c r="H85" s="5"/>
      <c r="I85" s="5"/>
      <c r="J85" s="13">
        <f t="shared" si="6"/>
        <v>0</v>
      </c>
      <c r="K85" s="13">
        <f t="shared" si="8"/>
        <v>0</v>
      </c>
      <c r="L85" s="5"/>
      <c r="M85" s="5"/>
      <c r="N85" s="5"/>
      <c r="O85" s="5"/>
      <c r="P85" s="5"/>
      <c r="Q85" s="13">
        <f t="shared" si="7"/>
        <v>0</v>
      </c>
      <c r="R85" s="13">
        <f t="shared" si="9"/>
        <v>0</v>
      </c>
      <c r="S85" s="55">
        <v>0</v>
      </c>
      <c r="T85" s="13">
        <f t="shared" si="10"/>
        <v>0</v>
      </c>
      <c r="U85" s="13"/>
      <c r="V85" s="8"/>
      <c r="W85" s="35"/>
    </row>
    <row r="86" spans="2:23" s="4" customFormat="1" ht="17.649999999999999" customHeight="1">
      <c r="B86" s="15"/>
      <c r="C86" s="15"/>
      <c r="D86" s="15"/>
      <c r="E86" s="5"/>
      <c r="F86" s="26"/>
      <c r="G86" s="26"/>
      <c r="H86" s="5"/>
      <c r="I86" s="5"/>
      <c r="J86" s="13">
        <f t="shared" si="6"/>
        <v>0</v>
      </c>
      <c r="K86" s="13">
        <f t="shared" si="8"/>
        <v>0</v>
      </c>
      <c r="L86" s="5"/>
      <c r="M86" s="5"/>
      <c r="N86" s="5"/>
      <c r="O86" s="5"/>
      <c r="P86" s="5"/>
      <c r="Q86" s="13">
        <f t="shared" si="7"/>
        <v>0</v>
      </c>
      <c r="R86" s="13">
        <f t="shared" si="9"/>
        <v>0</v>
      </c>
      <c r="S86" s="55">
        <v>0</v>
      </c>
      <c r="T86" s="13">
        <f t="shared" si="10"/>
        <v>0</v>
      </c>
      <c r="U86" s="13"/>
      <c r="V86" s="8"/>
      <c r="W86" s="35"/>
    </row>
    <row r="87" spans="2:23" s="4" customFormat="1" ht="17.649999999999999" customHeight="1">
      <c r="B87" s="15"/>
      <c r="C87" s="15"/>
      <c r="D87" s="15"/>
      <c r="E87" s="5"/>
      <c r="F87" s="26"/>
      <c r="G87" s="26"/>
      <c r="H87" s="5"/>
      <c r="I87" s="5"/>
      <c r="J87" s="13">
        <f t="shared" si="6"/>
        <v>0</v>
      </c>
      <c r="K87" s="13">
        <f t="shared" si="8"/>
        <v>0</v>
      </c>
      <c r="L87" s="5"/>
      <c r="M87" s="5"/>
      <c r="N87" s="5"/>
      <c r="O87" s="5"/>
      <c r="P87" s="5"/>
      <c r="Q87" s="13">
        <f t="shared" si="7"/>
        <v>0</v>
      </c>
      <c r="R87" s="13">
        <f t="shared" si="9"/>
        <v>0</v>
      </c>
      <c r="S87" s="55">
        <v>0</v>
      </c>
      <c r="T87" s="13">
        <f t="shared" si="10"/>
        <v>0</v>
      </c>
      <c r="U87" s="13"/>
      <c r="V87" s="8"/>
      <c r="W87" s="35"/>
    </row>
    <row r="88" spans="2:23" s="4" customFormat="1" ht="17.649999999999999" customHeight="1">
      <c r="B88" s="15"/>
      <c r="C88" s="15"/>
      <c r="D88" s="15"/>
      <c r="E88" s="5"/>
      <c r="F88" s="26"/>
      <c r="G88" s="26"/>
      <c r="H88" s="5"/>
      <c r="I88" s="5"/>
      <c r="J88" s="13">
        <f t="shared" si="6"/>
        <v>0</v>
      </c>
      <c r="K88" s="13">
        <f t="shared" si="8"/>
        <v>0</v>
      </c>
      <c r="L88" s="5"/>
      <c r="M88" s="5"/>
      <c r="N88" s="5"/>
      <c r="O88" s="5"/>
      <c r="P88" s="5"/>
      <c r="Q88" s="13">
        <f t="shared" si="7"/>
        <v>0</v>
      </c>
      <c r="R88" s="13">
        <f t="shared" si="9"/>
        <v>0</v>
      </c>
      <c r="S88" s="55">
        <v>0</v>
      </c>
      <c r="T88" s="13">
        <f t="shared" si="10"/>
        <v>0</v>
      </c>
      <c r="U88" s="13"/>
      <c r="V88" s="8"/>
      <c r="W88" s="35"/>
    </row>
    <row r="89" spans="2:23" s="4" customFormat="1" ht="17.649999999999999" customHeight="1">
      <c r="B89" s="15"/>
      <c r="C89" s="15"/>
      <c r="D89" s="15"/>
      <c r="E89" s="5"/>
      <c r="F89" s="26"/>
      <c r="G89" s="26"/>
      <c r="H89" s="5"/>
      <c r="I89" s="5"/>
      <c r="J89" s="13">
        <f t="shared" si="6"/>
        <v>0</v>
      </c>
      <c r="K89" s="13">
        <f t="shared" si="8"/>
        <v>0</v>
      </c>
      <c r="L89" s="5"/>
      <c r="M89" s="5"/>
      <c r="N89" s="5"/>
      <c r="O89" s="5"/>
      <c r="P89" s="5"/>
      <c r="Q89" s="13">
        <f t="shared" si="7"/>
        <v>0</v>
      </c>
      <c r="R89" s="13">
        <f t="shared" si="9"/>
        <v>0</v>
      </c>
      <c r="S89" s="55">
        <v>0</v>
      </c>
      <c r="T89" s="13">
        <f t="shared" si="10"/>
        <v>0</v>
      </c>
      <c r="U89" s="13"/>
      <c r="V89" s="8"/>
      <c r="W89" s="35"/>
    </row>
    <row r="90" spans="2:23" s="4" customFormat="1" ht="17.649999999999999" customHeight="1">
      <c r="B90" s="15"/>
      <c r="C90" s="15"/>
      <c r="D90" s="15"/>
      <c r="E90" s="5"/>
      <c r="F90" s="26"/>
      <c r="G90" s="26"/>
      <c r="H90" s="5"/>
      <c r="I90" s="5"/>
      <c r="J90" s="13">
        <f t="shared" si="6"/>
        <v>0</v>
      </c>
      <c r="K90" s="13">
        <f t="shared" si="8"/>
        <v>0</v>
      </c>
      <c r="L90" s="5"/>
      <c r="M90" s="5"/>
      <c r="N90" s="5"/>
      <c r="O90" s="5"/>
      <c r="P90" s="5"/>
      <c r="Q90" s="13">
        <f t="shared" si="7"/>
        <v>0</v>
      </c>
      <c r="R90" s="13">
        <f t="shared" si="9"/>
        <v>0</v>
      </c>
      <c r="S90" s="55">
        <v>0</v>
      </c>
      <c r="T90" s="13">
        <f t="shared" si="10"/>
        <v>0</v>
      </c>
      <c r="U90" s="13"/>
      <c r="V90" s="8"/>
      <c r="W90" s="35"/>
    </row>
    <row r="91" spans="2:23" s="4" customFormat="1" ht="17.649999999999999" customHeight="1">
      <c r="B91" s="15"/>
      <c r="C91" s="15"/>
      <c r="D91" s="15"/>
      <c r="E91" s="5"/>
      <c r="F91" s="26"/>
      <c r="G91" s="26"/>
      <c r="H91" s="5"/>
      <c r="I91" s="5"/>
      <c r="J91" s="13">
        <f t="shared" si="6"/>
        <v>0</v>
      </c>
      <c r="K91" s="13">
        <f t="shared" si="8"/>
        <v>0</v>
      </c>
      <c r="L91" s="5"/>
      <c r="M91" s="5"/>
      <c r="N91" s="5"/>
      <c r="O91" s="5"/>
      <c r="P91" s="5"/>
      <c r="Q91" s="13">
        <f t="shared" si="7"/>
        <v>0</v>
      </c>
      <c r="R91" s="13">
        <f t="shared" si="9"/>
        <v>0</v>
      </c>
      <c r="S91" s="55">
        <v>0</v>
      </c>
      <c r="T91" s="13">
        <f t="shared" si="10"/>
        <v>0</v>
      </c>
      <c r="U91" s="13"/>
      <c r="V91" s="8"/>
      <c r="W91" s="35"/>
    </row>
    <row r="92" spans="2:23" s="4" customFormat="1" ht="17.649999999999999" customHeight="1">
      <c r="B92" s="15"/>
      <c r="C92" s="15"/>
      <c r="D92" s="15"/>
      <c r="E92" s="5"/>
      <c r="F92" s="26"/>
      <c r="G92" s="26"/>
      <c r="H92" s="5"/>
      <c r="I92" s="5"/>
      <c r="J92" s="13">
        <f t="shared" si="6"/>
        <v>0</v>
      </c>
      <c r="K92" s="13">
        <f t="shared" si="8"/>
        <v>0</v>
      </c>
      <c r="L92" s="5"/>
      <c r="M92" s="5"/>
      <c r="N92" s="5"/>
      <c r="O92" s="5"/>
      <c r="P92" s="5"/>
      <c r="Q92" s="13">
        <f t="shared" si="7"/>
        <v>0</v>
      </c>
      <c r="R92" s="13">
        <f t="shared" si="9"/>
        <v>0</v>
      </c>
      <c r="S92" s="55">
        <v>0</v>
      </c>
      <c r="T92" s="13">
        <f t="shared" si="10"/>
        <v>0</v>
      </c>
      <c r="U92" s="13"/>
      <c r="V92" s="8"/>
      <c r="W92" s="35"/>
    </row>
    <row r="93" spans="2:23" s="4" customFormat="1" ht="17.649999999999999" customHeight="1">
      <c r="B93" s="15"/>
      <c r="C93" s="15"/>
      <c r="D93" s="15"/>
      <c r="E93" s="5"/>
      <c r="F93" s="26"/>
      <c r="G93" s="26"/>
      <c r="H93" s="5"/>
      <c r="I93" s="5"/>
      <c r="J93" s="13">
        <f t="shared" si="6"/>
        <v>0</v>
      </c>
      <c r="K93" s="13">
        <f t="shared" si="8"/>
        <v>0</v>
      </c>
      <c r="L93" s="5"/>
      <c r="M93" s="5"/>
      <c r="N93" s="5"/>
      <c r="O93" s="5"/>
      <c r="P93" s="5"/>
      <c r="Q93" s="13">
        <f t="shared" si="7"/>
        <v>0</v>
      </c>
      <c r="R93" s="13">
        <f t="shared" si="9"/>
        <v>0</v>
      </c>
      <c r="S93" s="55">
        <v>0</v>
      </c>
      <c r="T93" s="13">
        <f t="shared" si="10"/>
        <v>0</v>
      </c>
      <c r="U93" s="13"/>
      <c r="V93" s="8"/>
      <c r="W93" s="35"/>
    </row>
    <row r="94" spans="2:23" s="4" customFormat="1" ht="17.649999999999999" customHeight="1">
      <c r="B94" s="15"/>
      <c r="C94" s="15"/>
      <c r="D94" s="15"/>
      <c r="E94" s="5"/>
      <c r="F94" s="26"/>
      <c r="G94" s="26"/>
      <c r="H94" s="5"/>
      <c r="I94" s="5"/>
      <c r="J94" s="13">
        <f t="shared" si="6"/>
        <v>0</v>
      </c>
      <c r="K94" s="13">
        <f t="shared" si="8"/>
        <v>0</v>
      </c>
      <c r="L94" s="5"/>
      <c r="M94" s="5"/>
      <c r="N94" s="5"/>
      <c r="O94" s="5"/>
      <c r="P94" s="5"/>
      <c r="Q94" s="13">
        <f t="shared" si="7"/>
        <v>0</v>
      </c>
      <c r="R94" s="13">
        <f t="shared" si="9"/>
        <v>0</v>
      </c>
      <c r="S94" s="55">
        <v>0</v>
      </c>
      <c r="T94" s="13">
        <f t="shared" si="10"/>
        <v>0</v>
      </c>
      <c r="U94" s="13"/>
      <c r="V94" s="8"/>
      <c r="W94" s="35"/>
    </row>
    <row r="95" spans="2:23" s="4" customFormat="1" ht="17.649999999999999" customHeight="1">
      <c r="B95" s="15"/>
      <c r="C95" s="15"/>
      <c r="D95" s="15"/>
      <c r="E95" s="5"/>
      <c r="F95" s="26"/>
      <c r="G95" s="26"/>
      <c r="H95" s="5"/>
      <c r="I95" s="5"/>
      <c r="J95" s="13">
        <f t="shared" si="6"/>
        <v>0</v>
      </c>
      <c r="K95" s="13">
        <f t="shared" si="8"/>
        <v>0</v>
      </c>
      <c r="L95" s="5"/>
      <c r="M95" s="5"/>
      <c r="N95" s="5"/>
      <c r="O95" s="5"/>
      <c r="P95" s="5"/>
      <c r="Q95" s="13">
        <f t="shared" si="7"/>
        <v>0</v>
      </c>
      <c r="R95" s="13">
        <f t="shared" si="9"/>
        <v>0</v>
      </c>
      <c r="S95" s="55">
        <v>0</v>
      </c>
      <c r="T95" s="13">
        <f t="shared" si="10"/>
        <v>0</v>
      </c>
      <c r="U95" s="13"/>
      <c r="V95" s="8"/>
      <c r="W95" s="35"/>
    </row>
    <row r="96" spans="2:23" s="4" customFormat="1" ht="17.649999999999999" customHeight="1">
      <c r="B96" s="15"/>
      <c r="C96" s="15"/>
      <c r="D96" s="15"/>
      <c r="E96" s="5"/>
      <c r="F96" s="26"/>
      <c r="G96" s="26"/>
      <c r="H96" s="5"/>
      <c r="I96" s="5"/>
      <c r="J96" s="13">
        <f t="shared" si="6"/>
        <v>0</v>
      </c>
      <c r="K96" s="13">
        <f t="shared" si="8"/>
        <v>0</v>
      </c>
      <c r="L96" s="5"/>
      <c r="M96" s="5"/>
      <c r="N96" s="5"/>
      <c r="O96" s="5"/>
      <c r="P96" s="5"/>
      <c r="Q96" s="13">
        <f t="shared" si="7"/>
        <v>0</v>
      </c>
      <c r="R96" s="13">
        <f t="shared" si="9"/>
        <v>0</v>
      </c>
      <c r="S96" s="55">
        <v>0</v>
      </c>
      <c r="T96" s="13">
        <f t="shared" si="10"/>
        <v>0</v>
      </c>
      <c r="U96" s="13"/>
      <c r="V96" s="8"/>
      <c r="W96" s="35"/>
    </row>
    <row r="97" spans="2:25" s="4" customFormat="1" ht="17.649999999999999" customHeight="1">
      <c r="B97" s="15"/>
      <c r="C97" s="15"/>
      <c r="D97" s="15"/>
      <c r="E97" s="5"/>
      <c r="F97" s="26"/>
      <c r="G97" s="26"/>
      <c r="H97" s="5"/>
      <c r="I97" s="5"/>
      <c r="J97" s="13">
        <f t="shared" si="6"/>
        <v>0</v>
      </c>
      <c r="K97" s="13">
        <f t="shared" si="8"/>
        <v>0</v>
      </c>
      <c r="L97" s="5"/>
      <c r="M97" s="5"/>
      <c r="N97" s="5"/>
      <c r="O97" s="5"/>
      <c r="P97" s="5"/>
      <c r="Q97" s="13">
        <f t="shared" si="7"/>
        <v>0</v>
      </c>
      <c r="R97" s="13">
        <f t="shared" si="9"/>
        <v>0</v>
      </c>
      <c r="S97" s="55">
        <v>0</v>
      </c>
      <c r="T97" s="13">
        <f t="shared" si="10"/>
        <v>0</v>
      </c>
      <c r="U97" s="13"/>
      <c r="V97" s="8"/>
      <c r="W97" s="35"/>
    </row>
    <row r="98" spans="2:25" s="4" customFormat="1" ht="17.649999999999999" customHeight="1">
      <c r="B98" s="15"/>
      <c r="C98" s="15"/>
      <c r="D98" s="15"/>
      <c r="E98" s="5"/>
      <c r="F98" s="26"/>
      <c r="G98" s="26"/>
      <c r="H98" s="5"/>
      <c r="I98" s="5"/>
      <c r="J98" s="13">
        <f t="shared" si="6"/>
        <v>0</v>
      </c>
      <c r="K98" s="13">
        <f t="shared" si="8"/>
        <v>0</v>
      </c>
      <c r="L98" s="5"/>
      <c r="M98" s="5"/>
      <c r="N98" s="5"/>
      <c r="O98" s="5"/>
      <c r="P98" s="5"/>
      <c r="Q98" s="13">
        <f t="shared" si="7"/>
        <v>0</v>
      </c>
      <c r="R98" s="13">
        <f t="shared" si="9"/>
        <v>0</v>
      </c>
      <c r="S98" s="55">
        <v>0</v>
      </c>
      <c r="T98" s="13">
        <f t="shared" si="10"/>
        <v>0</v>
      </c>
      <c r="U98" s="13"/>
      <c r="V98" s="8"/>
      <c r="W98" s="35"/>
    </row>
    <row r="99" spans="2:25" s="4" customFormat="1" ht="17.649999999999999" customHeight="1">
      <c r="B99" s="15"/>
      <c r="C99" s="15"/>
      <c r="D99" s="15"/>
      <c r="E99" s="5"/>
      <c r="F99" s="26"/>
      <c r="G99" s="26"/>
      <c r="H99" s="5"/>
      <c r="I99" s="5"/>
      <c r="J99" s="13">
        <f t="shared" si="6"/>
        <v>0</v>
      </c>
      <c r="K99" s="13">
        <f t="shared" si="8"/>
        <v>0</v>
      </c>
      <c r="L99" s="5"/>
      <c r="M99" s="5"/>
      <c r="N99" s="5"/>
      <c r="O99" s="5"/>
      <c r="P99" s="5"/>
      <c r="Q99" s="13">
        <f t="shared" si="7"/>
        <v>0</v>
      </c>
      <c r="R99" s="13">
        <f t="shared" si="9"/>
        <v>0</v>
      </c>
      <c r="S99" s="55">
        <v>0</v>
      </c>
      <c r="T99" s="13">
        <f t="shared" si="10"/>
        <v>0</v>
      </c>
      <c r="U99" s="13"/>
      <c r="V99" s="8"/>
      <c r="W99" s="35"/>
    </row>
    <row r="100" spans="2:25" s="4" customFormat="1" ht="17.649999999999999" customHeight="1">
      <c r="B100" s="15"/>
      <c r="C100" s="15"/>
      <c r="D100" s="15"/>
      <c r="E100" s="5"/>
      <c r="F100" s="26"/>
      <c r="G100" s="26"/>
      <c r="H100" s="5"/>
      <c r="I100" s="5"/>
      <c r="J100" s="13">
        <f t="shared" si="6"/>
        <v>0</v>
      </c>
      <c r="K100" s="13">
        <f t="shared" si="8"/>
        <v>0</v>
      </c>
      <c r="L100" s="5"/>
      <c r="M100" s="5"/>
      <c r="N100" s="5"/>
      <c r="O100" s="5"/>
      <c r="P100" s="5"/>
      <c r="Q100" s="13">
        <f t="shared" si="7"/>
        <v>0</v>
      </c>
      <c r="R100" s="13">
        <f t="shared" si="9"/>
        <v>0</v>
      </c>
      <c r="S100" s="55">
        <v>0</v>
      </c>
      <c r="T100" s="13">
        <f t="shared" si="10"/>
        <v>0</v>
      </c>
      <c r="U100" s="13"/>
      <c r="V100" s="8"/>
      <c r="W100" s="35"/>
    </row>
    <row r="101" spans="2:25" s="4" customFormat="1" ht="17.649999999999999" customHeight="1">
      <c r="B101" s="15"/>
      <c r="C101" s="15"/>
      <c r="D101" s="15"/>
      <c r="E101" s="5"/>
      <c r="F101" s="26"/>
      <c r="G101" s="26"/>
      <c r="H101" s="5"/>
      <c r="I101" s="5"/>
      <c r="J101" s="13">
        <f t="shared" si="6"/>
        <v>0</v>
      </c>
      <c r="K101" s="13">
        <f t="shared" si="8"/>
        <v>0</v>
      </c>
      <c r="L101" s="5"/>
      <c r="M101" s="5"/>
      <c r="N101" s="5"/>
      <c r="O101" s="5"/>
      <c r="P101" s="5"/>
      <c r="Q101" s="13">
        <f t="shared" si="7"/>
        <v>0</v>
      </c>
      <c r="R101" s="13">
        <f t="shared" si="9"/>
        <v>0</v>
      </c>
      <c r="S101" s="55">
        <v>0</v>
      </c>
      <c r="T101" s="13">
        <f t="shared" si="10"/>
        <v>0</v>
      </c>
      <c r="U101" s="13"/>
      <c r="V101" s="8"/>
      <c r="W101" s="35"/>
    </row>
    <row r="102" spans="2:25" s="4" customFormat="1" ht="17.649999999999999" customHeight="1">
      <c r="B102" s="15"/>
      <c r="C102" s="15"/>
      <c r="D102" s="15"/>
      <c r="E102" s="5"/>
      <c r="F102" s="26"/>
      <c r="G102" s="26"/>
      <c r="H102" s="5"/>
      <c r="I102" s="5"/>
      <c r="J102" s="13">
        <f t="shared" si="6"/>
        <v>0</v>
      </c>
      <c r="K102" s="13">
        <f t="shared" si="8"/>
        <v>0</v>
      </c>
      <c r="L102" s="5"/>
      <c r="M102" s="5"/>
      <c r="N102" s="5"/>
      <c r="O102" s="5"/>
      <c r="P102" s="5"/>
      <c r="Q102" s="13">
        <f t="shared" si="7"/>
        <v>0</v>
      </c>
      <c r="R102" s="13">
        <f t="shared" si="9"/>
        <v>0</v>
      </c>
      <c r="S102" s="55">
        <v>0</v>
      </c>
      <c r="T102" s="13">
        <f t="shared" si="10"/>
        <v>0</v>
      </c>
      <c r="U102" s="13"/>
      <c r="V102" s="8"/>
      <c r="W102" s="35"/>
    </row>
    <row r="103" spans="2:25" s="4" customFormat="1" ht="17.649999999999999" customHeight="1">
      <c r="B103" s="15"/>
      <c r="C103" s="15"/>
      <c r="D103" s="15"/>
      <c r="E103" s="5"/>
      <c r="F103" s="26"/>
      <c r="G103" s="26"/>
      <c r="H103" s="5"/>
      <c r="I103" s="5"/>
      <c r="J103" s="13">
        <f t="shared" si="6"/>
        <v>0</v>
      </c>
      <c r="K103" s="13">
        <f t="shared" si="8"/>
        <v>0</v>
      </c>
      <c r="L103" s="5"/>
      <c r="M103" s="5"/>
      <c r="N103" s="5"/>
      <c r="O103" s="5"/>
      <c r="P103" s="5"/>
      <c r="Q103" s="13">
        <f t="shared" si="7"/>
        <v>0</v>
      </c>
      <c r="R103" s="13">
        <f t="shared" si="9"/>
        <v>0</v>
      </c>
      <c r="S103" s="55">
        <v>0</v>
      </c>
      <c r="T103" s="13">
        <f t="shared" si="10"/>
        <v>0</v>
      </c>
      <c r="U103" s="13"/>
      <c r="V103" s="8"/>
      <c r="W103" s="35"/>
    </row>
    <row r="104" spans="2:25" ht="17.649999999999999" customHeight="1">
      <c r="B104" s="32" t="s">
        <v>12</v>
      </c>
      <c r="C104" s="31"/>
      <c r="D104" s="31"/>
      <c r="E104" s="10">
        <f>SUM(E10:E103)</f>
        <v>62.43</v>
      </c>
      <c r="F104" s="10">
        <f t="shared" ref="F104:T104" si="11">SUM(F10:F103)</f>
        <v>5.9</v>
      </c>
      <c r="G104" s="10">
        <f t="shared" si="11"/>
        <v>0</v>
      </c>
      <c r="H104" s="10">
        <f t="shared" si="11"/>
        <v>5.9</v>
      </c>
      <c r="I104" s="10">
        <f t="shared" si="11"/>
        <v>18.34</v>
      </c>
      <c r="J104" s="10">
        <f t="shared" si="11"/>
        <v>24.240000000000002</v>
      </c>
      <c r="K104" s="10">
        <f t="shared" si="11"/>
        <v>86.67</v>
      </c>
      <c r="L104" s="10">
        <f t="shared" si="11"/>
        <v>0.35</v>
      </c>
      <c r="M104" s="10">
        <f t="shared" si="11"/>
        <v>0.35</v>
      </c>
      <c r="N104" s="10">
        <f t="shared" ref="N104" si="12">SUM(N10:N103)</f>
        <v>0.35</v>
      </c>
      <c r="O104" s="10">
        <f t="shared" si="11"/>
        <v>2.21</v>
      </c>
      <c r="P104" s="10">
        <f t="shared" si="11"/>
        <v>0.35</v>
      </c>
      <c r="Q104" s="10">
        <f t="shared" si="11"/>
        <v>3.61</v>
      </c>
      <c r="R104" s="10">
        <f t="shared" ref="R104:S104" si="13">SUM(R10:R103)</f>
        <v>90.28</v>
      </c>
      <c r="S104" s="10">
        <f t="shared" si="13"/>
        <v>10</v>
      </c>
      <c r="T104" s="10">
        <f t="shared" si="11"/>
        <v>100.28</v>
      </c>
      <c r="U104" s="10"/>
      <c r="V104" s="11"/>
      <c r="W104" s="36"/>
    </row>
    <row r="105" spans="2:25" s="4" customFormat="1" ht="17.649999999999999" customHeight="1">
      <c r="B105" s="22"/>
      <c r="C105" s="22"/>
      <c r="D105" s="22"/>
      <c r="E105" s="22"/>
      <c r="F105" s="23"/>
      <c r="G105" s="28"/>
      <c r="H105" s="28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4"/>
    </row>
  </sheetData>
  <mergeCells count="16">
    <mergeCell ref="S8:S9"/>
    <mergeCell ref="W8:W9"/>
    <mergeCell ref="C8:C9"/>
    <mergeCell ref="D8:D9"/>
    <mergeCell ref="B1:W1"/>
    <mergeCell ref="T8:T9"/>
    <mergeCell ref="V8:V9"/>
    <mergeCell ref="B8:B9"/>
    <mergeCell ref="F4:J4"/>
    <mergeCell ref="E8:E9"/>
    <mergeCell ref="F8:G8"/>
    <mergeCell ref="H8:J8"/>
    <mergeCell ref="K8:K9"/>
    <mergeCell ref="U8:U9"/>
    <mergeCell ref="L8:Q8"/>
    <mergeCell ref="R8:R9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W27"/>
  <sheetViews>
    <sheetView tabSelected="1" view="pageBreakPreview" topLeftCell="J1" zoomScale="190" zoomScaleNormal="70" zoomScaleSheetLayoutView="190" workbookViewId="0">
      <selection activeCell="Q5" sqref="Q5"/>
    </sheetView>
  </sheetViews>
  <sheetFormatPr defaultRowHeight="17.649999999999999" customHeight="1"/>
  <cols>
    <col min="1" max="1" width="1.625" style="1" customWidth="1"/>
    <col min="2" max="2" width="20.625" style="14" customWidth="1"/>
    <col min="3" max="3" width="18.875" style="40" customWidth="1"/>
    <col min="4" max="4" width="16.5" style="2" customWidth="1"/>
    <col min="5" max="5" width="20" style="1" customWidth="1"/>
    <col min="6" max="6" width="24.375" style="2" bestFit="1" customWidth="1"/>
    <col min="7" max="7" width="12.125" style="2" bestFit="1" customWidth="1"/>
    <col min="8" max="8" width="12.375" style="1" bestFit="1" customWidth="1"/>
    <col min="9" max="11" width="13.75" style="1" bestFit="1" customWidth="1"/>
    <col min="12" max="12" width="12" style="1" bestFit="1" customWidth="1"/>
    <col min="13" max="14" width="7.625" style="1" bestFit="1" customWidth="1"/>
    <col min="15" max="15" width="14.375" style="1" bestFit="1" customWidth="1"/>
    <col min="16" max="16" width="8" style="1" bestFit="1" customWidth="1"/>
    <col min="17" max="17" width="13.75" style="1" bestFit="1" customWidth="1"/>
    <col min="18" max="18" width="13.75" style="1" customWidth="1"/>
    <col min="19" max="19" width="13.75" style="1" bestFit="1" customWidth="1"/>
    <col min="20" max="20" width="15.125" style="1" bestFit="1" customWidth="1"/>
    <col min="21" max="21" width="15.125" style="1" customWidth="1"/>
    <col min="22" max="22" width="60.625" style="1" customWidth="1"/>
    <col min="23" max="23" width="23.125" style="1" customWidth="1"/>
    <col min="24" max="16384" width="9" style="1"/>
  </cols>
  <sheetData>
    <row r="1" spans="1:23" ht="25.5">
      <c r="B1" s="69" t="s">
        <v>49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3" spans="1:23" ht="17.649999999999999" customHeight="1">
      <c r="B3" s="17"/>
    </row>
    <row r="4" spans="1:23" ht="17.649999999999999" customHeight="1">
      <c r="B4" s="18" t="s">
        <v>13</v>
      </c>
      <c r="D4" s="70"/>
      <c r="E4" s="70"/>
      <c r="F4" s="70"/>
      <c r="G4" s="70"/>
      <c r="H4" s="70"/>
      <c r="I4" s="70"/>
    </row>
    <row r="5" spans="1:23" ht="17.649999999999999" customHeight="1">
      <c r="B5" s="17" t="s">
        <v>14</v>
      </c>
    </row>
    <row r="6" spans="1:23" ht="17.649999999999999" customHeight="1">
      <c r="B6" s="17"/>
    </row>
    <row r="7" spans="1:23" ht="17.649999999999999" customHeight="1">
      <c r="B7" s="21" t="s">
        <v>18</v>
      </c>
    </row>
    <row r="8" spans="1:23" s="3" customFormat="1" ht="17.25" customHeight="1">
      <c r="A8" s="20"/>
      <c r="B8" s="71" t="s">
        <v>11</v>
      </c>
      <c r="C8" s="75" t="s">
        <v>10</v>
      </c>
      <c r="D8" s="73" t="s">
        <v>4</v>
      </c>
      <c r="E8" s="75" t="s">
        <v>43</v>
      </c>
      <c r="F8" s="76" t="s">
        <v>17</v>
      </c>
      <c r="G8" s="77"/>
      <c r="H8" s="74" t="s">
        <v>42</v>
      </c>
      <c r="I8" s="74"/>
      <c r="J8" s="74"/>
      <c r="K8" s="75" t="s">
        <v>47</v>
      </c>
      <c r="L8" s="78" t="s">
        <v>44</v>
      </c>
      <c r="M8" s="79"/>
      <c r="N8" s="79"/>
      <c r="O8" s="79"/>
      <c r="P8" s="79"/>
      <c r="Q8" s="80"/>
      <c r="R8" s="57" t="s">
        <v>45</v>
      </c>
      <c r="S8" s="57" t="s">
        <v>41</v>
      </c>
      <c r="T8" s="57" t="s">
        <v>46</v>
      </c>
      <c r="U8" s="71" t="s">
        <v>5</v>
      </c>
      <c r="V8" s="73" t="s">
        <v>6</v>
      </c>
      <c r="W8" s="74" t="s">
        <v>1</v>
      </c>
    </row>
    <row r="9" spans="1:23" s="34" customFormat="1" ht="22.5">
      <c r="A9" s="33"/>
      <c r="B9" s="72"/>
      <c r="C9" s="74"/>
      <c r="D9" s="72"/>
      <c r="E9" s="74"/>
      <c r="F9" s="29" t="s">
        <v>19</v>
      </c>
      <c r="G9" s="30" t="s">
        <v>20</v>
      </c>
      <c r="H9" s="30" t="s">
        <v>21</v>
      </c>
      <c r="I9" s="30" t="s">
        <v>2</v>
      </c>
      <c r="J9" s="30" t="s">
        <v>0</v>
      </c>
      <c r="K9" s="74"/>
      <c r="L9" s="29" t="s">
        <v>22</v>
      </c>
      <c r="M9" s="29" t="s">
        <v>26</v>
      </c>
      <c r="N9" s="29" t="s">
        <v>27</v>
      </c>
      <c r="O9" s="30" t="s">
        <v>3</v>
      </c>
      <c r="P9" s="30" t="s">
        <v>23</v>
      </c>
      <c r="Q9" s="30" t="s">
        <v>0</v>
      </c>
      <c r="R9" s="59"/>
      <c r="S9" s="59"/>
      <c r="T9" s="58"/>
      <c r="U9" s="72"/>
      <c r="V9" s="72"/>
      <c r="W9" s="74"/>
    </row>
    <row r="10" spans="1:23" s="4" customFormat="1" ht="17.649999999999999" customHeight="1">
      <c r="B10" s="16" t="s">
        <v>9</v>
      </c>
      <c r="C10" s="12">
        <v>10</v>
      </c>
      <c r="D10" s="12">
        <v>3</v>
      </c>
      <c r="E10" s="13">
        <v>62.43</v>
      </c>
      <c r="F10" s="19">
        <v>5.9</v>
      </c>
      <c r="G10" s="19">
        <v>0</v>
      </c>
      <c r="H10" s="13">
        <v>5.9</v>
      </c>
      <c r="I10" s="13">
        <v>18.34</v>
      </c>
      <c r="J10" s="13">
        <f t="shared" ref="J10" si="0">I10+H10</f>
        <v>24.240000000000002</v>
      </c>
      <c r="K10" s="13">
        <f>E10+J10</f>
        <v>86.67</v>
      </c>
      <c r="L10" s="13">
        <v>0.35</v>
      </c>
      <c r="M10" s="13">
        <v>0.35</v>
      </c>
      <c r="N10" s="13">
        <v>0.35</v>
      </c>
      <c r="O10" s="13">
        <v>2.21</v>
      </c>
      <c r="P10" s="13">
        <v>0.35</v>
      </c>
      <c r="Q10" s="13">
        <f>SUM(L10:P10)</f>
        <v>3.61</v>
      </c>
      <c r="R10" s="13">
        <f>SUM(K10,Q10)</f>
        <v>90.28</v>
      </c>
      <c r="S10" s="13">
        <v>42.28</v>
      </c>
      <c r="T10" s="13">
        <f>SUM(R10,S10)</f>
        <v>132.56</v>
      </c>
      <c r="U10" s="19" t="s">
        <v>7</v>
      </c>
      <c r="V10" s="13" t="s">
        <v>8</v>
      </c>
      <c r="W10" s="7"/>
    </row>
    <row r="11" spans="1:23" s="4" customFormat="1" ht="17.649999999999999" customHeight="1">
      <c r="B11" s="15"/>
      <c r="C11" s="6"/>
      <c r="D11" s="6"/>
      <c r="E11" s="5"/>
      <c r="F11" s="26"/>
      <c r="G11" s="26"/>
      <c r="H11" s="5"/>
      <c r="I11" s="5"/>
      <c r="J11" s="5">
        <f>SUM(H11:I11)</f>
        <v>0</v>
      </c>
      <c r="K11" s="5">
        <f>+E11+J11</f>
        <v>0</v>
      </c>
      <c r="L11" s="5"/>
      <c r="M11" s="5"/>
      <c r="N11" s="5"/>
      <c r="O11" s="5"/>
      <c r="P11" s="5"/>
      <c r="Q11" s="13">
        <f t="shared" ref="Q11:Q17" si="1">SUM(L11:P11)</f>
        <v>0</v>
      </c>
      <c r="R11" s="13">
        <f t="shared" ref="R11:R17" si="2">SUM(K11,Q11)</f>
        <v>0</v>
      </c>
      <c r="S11" s="13">
        <v>0</v>
      </c>
      <c r="T11" s="13">
        <f t="shared" ref="T11:T17" si="3">SUM(R11,S11)</f>
        <v>0</v>
      </c>
      <c r="U11" s="5"/>
      <c r="V11" s="5"/>
      <c r="W11" s="8"/>
    </row>
    <row r="12" spans="1:23" s="4" customFormat="1" ht="17.649999999999999" customHeight="1">
      <c r="B12" s="15"/>
      <c r="C12" s="6"/>
      <c r="D12" s="6"/>
      <c r="E12" s="5"/>
      <c r="F12" s="26"/>
      <c r="G12" s="26"/>
      <c r="H12" s="5"/>
      <c r="I12" s="5"/>
      <c r="J12" s="5">
        <f t="shared" ref="J12:J17" si="4">SUM(H12:I12)</f>
        <v>0</v>
      </c>
      <c r="K12" s="5">
        <f t="shared" ref="K12:K17" si="5">+E12+J12</f>
        <v>0</v>
      </c>
      <c r="L12" s="5"/>
      <c r="M12" s="5"/>
      <c r="N12" s="5"/>
      <c r="O12" s="5"/>
      <c r="P12" s="5"/>
      <c r="Q12" s="13">
        <f t="shared" si="1"/>
        <v>0</v>
      </c>
      <c r="R12" s="13">
        <f t="shared" si="2"/>
        <v>0</v>
      </c>
      <c r="S12" s="13">
        <v>0</v>
      </c>
      <c r="T12" s="13">
        <f t="shared" si="3"/>
        <v>0</v>
      </c>
      <c r="U12" s="5"/>
      <c r="V12" s="5"/>
      <c r="W12" s="8"/>
    </row>
    <row r="13" spans="1:23" s="4" customFormat="1" ht="17.649999999999999" customHeight="1">
      <c r="B13" s="15"/>
      <c r="C13" s="6"/>
      <c r="D13" s="6"/>
      <c r="E13" s="5"/>
      <c r="F13" s="26"/>
      <c r="G13" s="26"/>
      <c r="H13" s="5"/>
      <c r="I13" s="5"/>
      <c r="J13" s="5">
        <f t="shared" si="4"/>
        <v>0</v>
      </c>
      <c r="K13" s="5">
        <f t="shared" si="5"/>
        <v>0</v>
      </c>
      <c r="L13" s="5"/>
      <c r="M13" s="5"/>
      <c r="N13" s="5"/>
      <c r="O13" s="5"/>
      <c r="P13" s="5"/>
      <c r="Q13" s="13">
        <f t="shared" si="1"/>
        <v>0</v>
      </c>
      <c r="R13" s="13">
        <f t="shared" si="2"/>
        <v>0</v>
      </c>
      <c r="S13" s="13">
        <v>0</v>
      </c>
      <c r="T13" s="13">
        <f t="shared" si="3"/>
        <v>0</v>
      </c>
      <c r="U13" s="5"/>
      <c r="V13" s="5"/>
      <c r="W13" s="8"/>
    </row>
    <row r="14" spans="1:23" s="4" customFormat="1" ht="17.649999999999999" customHeight="1">
      <c r="B14" s="15"/>
      <c r="C14" s="6"/>
      <c r="D14" s="6"/>
      <c r="E14" s="5"/>
      <c r="F14" s="26"/>
      <c r="G14" s="26"/>
      <c r="H14" s="5"/>
      <c r="I14" s="5"/>
      <c r="J14" s="5">
        <f t="shared" si="4"/>
        <v>0</v>
      </c>
      <c r="K14" s="5">
        <f t="shared" si="5"/>
        <v>0</v>
      </c>
      <c r="L14" s="5"/>
      <c r="M14" s="5"/>
      <c r="N14" s="5"/>
      <c r="O14" s="5"/>
      <c r="P14" s="5"/>
      <c r="Q14" s="13">
        <f t="shared" si="1"/>
        <v>0</v>
      </c>
      <c r="R14" s="13">
        <f t="shared" si="2"/>
        <v>0</v>
      </c>
      <c r="S14" s="13">
        <v>0</v>
      </c>
      <c r="T14" s="13">
        <f t="shared" si="3"/>
        <v>0</v>
      </c>
      <c r="U14" s="5"/>
      <c r="V14" s="5"/>
      <c r="W14" s="8"/>
    </row>
    <row r="15" spans="1:23" s="4" customFormat="1" ht="17.649999999999999" customHeight="1">
      <c r="B15" s="15"/>
      <c r="C15" s="6"/>
      <c r="D15" s="6"/>
      <c r="E15" s="5"/>
      <c r="F15" s="26"/>
      <c r="G15" s="26"/>
      <c r="H15" s="5"/>
      <c r="I15" s="5"/>
      <c r="J15" s="5">
        <f t="shared" si="4"/>
        <v>0</v>
      </c>
      <c r="K15" s="5">
        <f t="shared" si="5"/>
        <v>0</v>
      </c>
      <c r="L15" s="5"/>
      <c r="M15" s="5"/>
      <c r="N15" s="5"/>
      <c r="O15" s="5"/>
      <c r="P15" s="5"/>
      <c r="Q15" s="13">
        <f t="shared" si="1"/>
        <v>0</v>
      </c>
      <c r="R15" s="13">
        <f t="shared" si="2"/>
        <v>0</v>
      </c>
      <c r="S15" s="13">
        <v>0</v>
      </c>
      <c r="T15" s="13">
        <f t="shared" si="3"/>
        <v>0</v>
      </c>
      <c r="U15" s="5"/>
      <c r="V15" s="5"/>
      <c r="W15" s="8"/>
    </row>
    <row r="16" spans="1:23" s="4" customFormat="1" ht="17.649999999999999" customHeight="1">
      <c r="B16" s="15"/>
      <c r="C16" s="6"/>
      <c r="D16" s="6"/>
      <c r="E16" s="5"/>
      <c r="F16" s="26"/>
      <c r="G16" s="26"/>
      <c r="H16" s="5"/>
      <c r="I16" s="5"/>
      <c r="J16" s="5">
        <f t="shared" si="4"/>
        <v>0</v>
      </c>
      <c r="K16" s="5">
        <f t="shared" si="5"/>
        <v>0</v>
      </c>
      <c r="L16" s="5"/>
      <c r="M16" s="5"/>
      <c r="N16" s="5"/>
      <c r="O16" s="5"/>
      <c r="P16" s="5"/>
      <c r="Q16" s="13">
        <f t="shared" si="1"/>
        <v>0</v>
      </c>
      <c r="R16" s="13">
        <f t="shared" si="2"/>
        <v>0</v>
      </c>
      <c r="S16" s="13">
        <v>0</v>
      </c>
      <c r="T16" s="13">
        <f t="shared" si="3"/>
        <v>0</v>
      </c>
      <c r="U16" s="5"/>
      <c r="V16" s="5"/>
      <c r="W16" s="8"/>
    </row>
    <row r="17" spans="2:23" s="4" customFormat="1" ht="17.649999999999999" customHeight="1">
      <c r="B17" s="15"/>
      <c r="C17" s="6"/>
      <c r="D17" s="6"/>
      <c r="E17" s="5"/>
      <c r="F17" s="26"/>
      <c r="G17" s="26"/>
      <c r="H17" s="5"/>
      <c r="I17" s="5"/>
      <c r="J17" s="5">
        <f t="shared" si="4"/>
        <v>0</v>
      </c>
      <c r="K17" s="5">
        <f t="shared" si="5"/>
        <v>0</v>
      </c>
      <c r="L17" s="5"/>
      <c r="M17" s="5"/>
      <c r="N17" s="5"/>
      <c r="O17" s="5"/>
      <c r="P17" s="5"/>
      <c r="Q17" s="13">
        <f t="shared" si="1"/>
        <v>0</v>
      </c>
      <c r="R17" s="13">
        <f t="shared" si="2"/>
        <v>0</v>
      </c>
      <c r="S17" s="13">
        <v>0</v>
      </c>
      <c r="T17" s="13">
        <f t="shared" si="3"/>
        <v>0</v>
      </c>
      <c r="U17" s="5"/>
      <c r="V17" s="5"/>
      <c r="W17" s="8"/>
    </row>
    <row r="18" spans="2:23" ht="17.649999999999999" customHeight="1">
      <c r="B18" s="9" t="s">
        <v>12</v>
      </c>
      <c r="C18" s="25">
        <f>SUM(C10:C17)</f>
        <v>10</v>
      </c>
      <c r="D18" s="9"/>
      <c r="E18" s="10"/>
      <c r="F18" s="27"/>
      <c r="G18" s="27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2:23" s="4" customFormat="1" ht="17.649999999999999" customHeight="1">
      <c r="B19" s="22"/>
      <c r="C19" s="41"/>
      <c r="D19" s="22"/>
      <c r="E19" s="23"/>
      <c r="F19" s="28"/>
      <c r="G19" s="28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4"/>
    </row>
    <row r="21" spans="2:23" ht="31.5" customHeight="1">
      <c r="B21" s="21" t="s">
        <v>40</v>
      </c>
    </row>
    <row r="22" spans="2:23" ht="54.75" customHeight="1" thickBot="1">
      <c r="B22" s="62" t="s">
        <v>29</v>
      </c>
      <c r="C22" s="63"/>
      <c r="D22" s="60" t="s">
        <v>30</v>
      </c>
      <c r="E22" s="66" t="s">
        <v>37</v>
      </c>
      <c r="F22" s="67"/>
    </row>
    <row r="23" spans="2:23" ht="21.75" customHeight="1">
      <c r="B23" s="64"/>
      <c r="C23" s="65"/>
      <c r="D23" s="61"/>
      <c r="E23" s="45" t="s">
        <v>38</v>
      </c>
      <c r="F23" s="44" t="s">
        <v>39</v>
      </c>
    </row>
    <row r="24" spans="2:23" ht="34.5" customHeight="1">
      <c r="B24" s="68" t="s">
        <v>31</v>
      </c>
      <c r="C24" s="68"/>
      <c r="D24" s="46">
        <v>160</v>
      </c>
      <c r="E24" s="47" t="s">
        <v>34</v>
      </c>
      <c r="F24" s="48"/>
    </row>
    <row r="25" spans="2:23" ht="24" customHeight="1">
      <c r="B25" s="68" t="s">
        <v>35</v>
      </c>
      <c r="C25" s="43" t="s">
        <v>32</v>
      </c>
      <c r="D25" s="49">
        <f>'1. 호별 면적표'!E104</f>
        <v>62.43</v>
      </c>
      <c r="E25" s="50">
        <f>$D$24*D25/$D$27</f>
        <v>80</v>
      </c>
      <c r="F25" s="51">
        <f>ROUNDDOWN(E25,2)</f>
        <v>80</v>
      </c>
    </row>
    <row r="26" spans="2:23" ht="24" customHeight="1">
      <c r="B26" s="68"/>
      <c r="C26" s="43" t="s">
        <v>33</v>
      </c>
      <c r="D26" s="49">
        <f>'3. 근생 면적표'!C16</f>
        <v>62.43</v>
      </c>
      <c r="E26" s="50">
        <f>$D$24*D26/$D$27</f>
        <v>80</v>
      </c>
      <c r="F26" s="51">
        <f>D24-F25</f>
        <v>80</v>
      </c>
    </row>
    <row r="27" spans="2:23" ht="30" customHeight="1" thickBot="1">
      <c r="B27" s="68"/>
      <c r="C27" s="42" t="s">
        <v>36</v>
      </c>
      <c r="D27" s="52">
        <f>SUM(D25,D26)</f>
        <v>124.86</v>
      </c>
      <c r="E27" s="53">
        <f>SUM(E25,E26)</f>
        <v>160</v>
      </c>
      <c r="F27" s="54"/>
    </row>
  </sheetData>
  <mergeCells count="21">
    <mergeCell ref="B25:B27"/>
    <mergeCell ref="B24:C24"/>
    <mergeCell ref="B1:W1"/>
    <mergeCell ref="D4:I4"/>
    <mergeCell ref="U8:U9"/>
    <mergeCell ref="V8:V9"/>
    <mergeCell ref="W8:W9"/>
    <mergeCell ref="H8:J8"/>
    <mergeCell ref="K8:K9"/>
    <mergeCell ref="B8:B9"/>
    <mergeCell ref="C8:C9"/>
    <mergeCell ref="D8:D9"/>
    <mergeCell ref="E8:E9"/>
    <mergeCell ref="F8:G8"/>
    <mergeCell ref="S8:S9"/>
    <mergeCell ref="L8:Q8"/>
    <mergeCell ref="T8:T9"/>
    <mergeCell ref="R8:R9"/>
    <mergeCell ref="D22:D23"/>
    <mergeCell ref="B22:C23"/>
    <mergeCell ref="E22:F22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47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pageSetUpPr fitToPage="1"/>
  </sheetPr>
  <dimension ref="A1:W17"/>
  <sheetViews>
    <sheetView view="pageBreakPreview" zoomScaleNormal="115" zoomScaleSheetLayoutView="100" workbookViewId="0">
      <pane ySplit="9" topLeftCell="A10" activePane="bottomLeft" state="frozen"/>
      <selection pane="bottomLeft" activeCell="L3" sqref="L3"/>
    </sheetView>
  </sheetViews>
  <sheetFormatPr defaultRowHeight="17.649999999999999" customHeight="1"/>
  <cols>
    <col min="1" max="1" width="1.625" style="1" customWidth="1"/>
    <col min="2" max="2" width="9" style="14"/>
    <col min="3" max="3" width="10.125" style="2" customWidth="1"/>
    <col min="4" max="4" width="13.75" style="1" bestFit="1" customWidth="1"/>
    <col min="5" max="5" width="10.875" style="2" customWidth="1"/>
    <col min="6" max="6" width="12.125" style="2" bestFit="1" customWidth="1"/>
    <col min="7" max="7" width="12.375" style="1" bestFit="1" customWidth="1"/>
    <col min="8" max="10" width="13.75" style="1" bestFit="1" customWidth="1"/>
    <col min="11" max="11" width="12" style="1" bestFit="1" customWidth="1"/>
    <col min="12" max="12" width="12.375" style="1" bestFit="1" customWidth="1"/>
    <col min="13" max="13" width="14.375" style="1" bestFit="1" customWidth="1"/>
    <col min="14" max="14" width="7.625" style="1" bestFit="1" customWidth="1"/>
    <col min="15" max="15" width="8" style="1" bestFit="1" customWidth="1"/>
    <col min="16" max="16" width="10.75" style="1" customWidth="1"/>
    <col min="17" max="17" width="14.375" style="1" bestFit="1" customWidth="1"/>
    <col min="18" max="18" width="12.5" style="1" customWidth="1"/>
    <col min="19" max="19" width="19.5" style="1" customWidth="1"/>
    <col min="20" max="16384" width="9" style="1"/>
  </cols>
  <sheetData>
    <row r="1" spans="1:23" ht="25.5">
      <c r="B1" s="69" t="s">
        <v>51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38"/>
      <c r="U1" s="38"/>
      <c r="V1" s="38"/>
      <c r="W1" s="38"/>
    </row>
    <row r="3" spans="1:23" ht="17.649999999999999" customHeight="1">
      <c r="B3" s="17"/>
    </row>
    <row r="4" spans="1:23" ht="17.649999999999999" customHeight="1">
      <c r="B4" s="18" t="s">
        <v>13</v>
      </c>
      <c r="D4" s="70"/>
      <c r="E4" s="70"/>
      <c r="F4" s="70"/>
      <c r="G4" s="70"/>
      <c r="H4" s="70"/>
    </row>
    <row r="5" spans="1:23" ht="17.649999999999999" customHeight="1">
      <c r="B5" s="17" t="s">
        <v>14</v>
      </c>
    </row>
    <row r="6" spans="1:23" ht="17.649999999999999" customHeight="1">
      <c r="B6" s="17"/>
    </row>
    <row r="7" spans="1:23" ht="17.649999999999999" customHeight="1">
      <c r="B7" s="21" t="s">
        <v>25</v>
      </c>
    </row>
    <row r="8" spans="1:23" s="3" customFormat="1" ht="17.25" customHeight="1">
      <c r="A8" s="20"/>
      <c r="B8" s="71" t="s">
        <v>15</v>
      </c>
      <c r="C8" s="75" t="s">
        <v>43</v>
      </c>
      <c r="D8" s="76" t="s">
        <v>17</v>
      </c>
      <c r="E8" s="77"/>
      <c r="F8" s="74" t="s">
        <v>48</v>
      </c>
      <c r="G8" s="74"/>
      <c r="H8" s="74"/>
      <c r="I8" s="75" t="s">
        <v>47</v>
      </c>
      <c r="J8" s="78" t="s">
        <v>44</v>
      </c>
      <c r="K8" s="79"/>
      <c r="L8" s="79"/>
      <c r="M8" s="79"/>
      <c r="N8" s="79"/>
      <c r="O8" s="80"/>
      <c r="P8" s="57" t="s">
        <v>45</v>
      </c>
      <c r="Q8" s="57" t="s">
        <v>41</v>
      </c>
      <c r="R8" s="57" t="s">
        <v>46</v>
      </c>
      <c r="S8" s="74" t="s">
        <v>1</v>
      </c>
    </row>
    <row r="9" spans="1:23" s="34" customFormat="1" ht="22.5">
      <c r="A9" s="33"/>
      <c r="B9" s="72"/>
      <c r="C9" s="74"/>
      <c r="D9" s="29" t="s">
        <v>19</v>
      </c>
      <c r="E9" s="30" t="s">
        <v>20</v>
      </c>
      <c r="F9" s="30" t="s">
        <v>21</v>
      </c>
      <c r="G9" s="30" t="s">
        <v>2</v>
      </c>
      <c r="H9" s="30" t="s">
        <v>0</v>
      </c>
      <c r="I9" s="74"/>
      <c r="J9" s="29" t="s">
        <v>22</v>
      </c>
      <c r="K9" s="29" t="s">
        <v>26</v>
      </c>
      <c r="L9" s="29" t="s">
        <v>27</v>
      </c>
      <c r="M9" s="30" t="s">
        <v>3</v>
      </c>
      <c r="N9" s="30" t="s">
        <v>23</v>
      </c>
      <c r="O9" s="30" t="s">
        <v>0</v>
      </c>
      <c r="P9" s="59"/>
      <c r="Q9" s="59"/>
      <c r="R9" s="58"/>
      <c r="S9" s="74"/>
    </row>
    <row r="10" spans="1:23" s="4" customFormat="1" ht="17.649999999999999" customHeight="1">
      <c r="B10" s="16" t="s">
        <v>16</v>
      </c>
      <c r="C10" s="13">
        <v>62.43</v>
      </c>
      <c r="D10" s="19">
        <v>5.72</v>
      </c>
      <c r="E10" s="19">
        <v>0</v>
      </c>
      <c r="F10" s="13">
        <v>5.48</v>
      </c>
      <c r="G10" s="13">
        <v>18.34</v>
      </c>
      <c r="H10" s="13">
        <f t="shared" ref="H10:H15" si="0">G10+F10</f>
        <v>23.82</v>
      </c>
      <c r="I10" s="13">
        <f>C10+H10</f>
        <v>86.25</v>
      </c>
      <c r="J10" s="13">
        <v>0.35</v>
      </c>
      <c r="K10" s="13">
        <v>0.35</v>
      </c>
      <c r="L10" s="13">
        <v>0.35</v>
      </c>
      <c r="M10" s="13">
        <v>2.21</v>
      </c>
      <c r="N10" s="13">
        <v>0.35</v>
      </c>
      <c r="O10" s="13">
        <f t="shared" ref="O10:O15" si="1">SUM(J10:N10)</f>
        <v>3.61</v>
      </c>
      <c r="P10" s="13"/>
      <c r="Q10" s="13">
        <v>42.28</v>
      </c>
      <c r="R10" s="13">
        <f>I10+O10</f>
        <v>89.86</v>
      </c>
      <c r="S10" s="7"/>
    </row>
    <row r="11" spans="1:23" s="4" customFormat="1" ht="17.649999999999999" customHeight="1">
      <c r="B11" s="15"/>
      <c r="C11" s="5"/>
      <c r="D11" s="26"/>
      <c r="E11" s="26"/>
      <c r="F11" s="5"/>
      <c r="G11" s="5"/>
      <c r="H11" s="13">
        <f t="shared" si="0"/>
        <v>0</v>
      </c>
      <c r="I11" s="13">
        <f t="shared" ref="I11:I15" si="2">C11+H11</f>
        <v>0</v>
      </c>
      <c r="J11" s="5"/>
      <c r="K11" s="5"/>
      <c r="L11" s="5"/>
      <c r="M11" s="5"/>
      <c r="N11" s="5"/>
      <c r="O11" s="13">
        <f t="shared" si="1"/>
        <v>0</v>
      </c>
      <c r="P11" s="13"/>
      <c r="Q11" s="5"/>
      <c r="R11" s="13">
        <f>I11+O11</f>
        <v>0</v>
      </c>
      <c r="S11" s="8"/>
    </row>
    <row r="12" spans="1:23" s="4" customFormat="1" ht="17.649999999999999" customHeight="1">
      <c r="B12" s="15"/>
      <c r="C12" s="5"/>
      <c r="D12" s="26"/>
      <c r="E12" s="26"/>
      <c r="F12" s="5"/>
      <c r="G12" s="5"/>
      <c r="H12" s="13">
        <f t="shared" si="0"/>
        <v>0</v>
      </c>
      <c r="I12" s="13">
        <f t="shared" si="2"/>
        <v>0</v>
      </c>
      <c r="J12" s="5"/>
      <c r="K12" s="5"/>
      <c r="L12" s="5"/>
      <c r="M12" s="5"/>
      <c r="N12" s="5"/>
      <c r="O12" s="13">
        <f t="shared" si="1"/>
        <v>0</v>
      </c>
      <c r="P12" s="13"/>
      <c r="Q12" s="5"/>
      <c r="R12" s="13">
        <f>I12+O12</f>
        <v>0</v>
      </c>
      <c r="S12" s="8"/>
    </row>
    <row r="13" spans="1:23" s="4" customFormat="1" ht="17.649999999999999" customHeight="1">
      <c r="B13" s="15"/>
      <c r="C13" s="5"/>
      <c r="D13" s="26"/>
      <c r="E13" s="26"/>
      <c r="F13" s="5"/>
      <c r="G13" s="5"/>
      <c r="H13" s="13">
        <f t="shared" si="0"/>
        <v>0</v>
      </c>
      <c r="I13" s="13">
        <f t="shared" si="2"/>
        <v>0</v>
      </c>
      <c r="J13" s="5"/>
      <c r="K13" s="5"/>
      <c r="L13" s="5"/>
      <c r="M13" s="5"/>
      <c r="N13" s="5"/>
      <c r="O13" s="13">
        <f t="shared" si="1"/>
        <v>0</v>
      </c>
      <c r="P13" s="13">
        <f>SUM(I13,O13)</f>
        <v>0</v>
      </c>
      <c r="Q13" s="56">
        <v>10</v>
      </c>
      <c r="R13" s="13">
        <f>SUM(P13,Q13)</f>
        <v>10</v>
      </c>
      <c r="S13" s="8"/>
    </row>
    <row r="14" spans="1:23" s="4" customFormat="1" ht="17.649999999999999" customHeight="1">
      <c r="B14" s="15"/>
      <c r="C14" s="5"/>
      <c r="D14" s="26"/>
      <c r="E14" s="26"/>
      <c r="F14" s="5"/>
      <c r="G14" s="5"/>
      <c r="H14" s="13">
        <f t="shared" si="0"/>
        <v>0</v>
      </c>
      <c r="I14" s="13">
        <f t="shared" si="2"/>
        <v>0</v>
      </c>
      <c r="J14" s="5"/>
      <c r="K14" s="5"/>
      <c r="L14" s="5"/>
      <c r="M14" s="5"/>
      <c r="N14" s="5"/>
      <c r="O14" s="13">
        <f t="shared" si="1"/>
        <v>0</v>
      </c>
      <c r="P14" s="13">
        <f t="shared" ref="P14:P15" si="3">SUM(I14,O14)</f>
        <v>0</v>
      </c>
      <c r="Q14" s="56"/>
      <c r="R14" s="13">
        <f t="shared" ref="R14:R15" si="4">SUM(P14,Q14)</f>
        <v>0</v>
      </c>
      <c r="S14" s="8"/>
    </row>
    <row r="15" spans="1:23" s="4" customFormat="1" ht="17.649999999999999" customHeight="1">
      <c r="B15" s="15"/>
      <c r="C15" s="5"/>
      <c r="D15" s="26"/>
      <c r="E15" s="26"/>
      <c r="F15" s="5"/>
      <c r="G15" s="5"/>
      <c r="H15" s="13">
        <f t="shared" si="0"/>
        <v>0</v>
      </c>
      <c r="I15" s="13">
        <f t="shared" si="2"/>
        <v>0</v>
      </c>
      <c r="J15" s="5"/>
      <c r="K15" s="5"/>
      <c r="L15" s="5"/>
      <c r="M15" s="5"/>
      <c r="N15" s="5"/>
      <c r="O15" s="13">
        <f t="shared" si="1"/>
        <v>0</v>
      </c>
      <c r="P15" s="13">
        <f t="shared" si="3"/>
        <v>0</v>
      </c>
      <c r="Q15" s="56"/>
      <c r="R15" s="13">
        <f t="shared" si="4"/>
        <v>0</v>
      </c>
      <c r="S15" s="8"/>
    </row>
    <row r="16" spans="1:23" ht="17.649999999999999" customHeight="1">
      <c r="B16" s="37" t="s">
        <v>12</v>
      </c>
      <c r="C16" s="39">
        <f>SUM(C10:C15)</f>
        <v>62.43</v>
      </c>
      <c r="D16" s="25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2:19" s="4" customFormat="1" ht="17.649999999999999" customHeight="1">
      <c r="B17" s="22"/>
      <c r="C17" s="22"/>
      <c r="D17" s="23"/>
      <c r="E17" s="28"/>
      <c r="F17" s="28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</sheetData>
  <mergeCells count="12">
    <mergeCell ref="S8:S9"/>
    <mergeCell ref="B1:S1"/>
    <mergeCell ref="D4:H4"/>
    <mergeCell ref="B8:B9"/>
    <mergeCell ref="C8:C9"/>
    <mergeCell ref="D8:E8"/>
    <mergeCell ref="F8:H8"/>
    <mergeCell ref="I8:I9"/>
    <mergeCell ref="R8:R9"/>
    <mergeCell ref="J8:O8"/>
    <mergeCell ref="Q8:Q9"/>
    <mergeCell ref="P8:P9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79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호별 면적표</vt:lpstr>
      <vt:lpstr>2. 타입별 면적표</vt:lpstr>
      <vt:lpstr>3. 근생 면적표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박소민</cp:lastModifiedBy>
  <cp:lastPrinted>2021-04-02T06:11:57Z</cp:lastPrinted>
  <dcterms:created xsi:type="dcterms:W3CDTF">2021-01-18T06:00:54Z</dcterms:created>
  <dcterms:modified xsi:type="dcterms:W3CDTF">2026-07-14T05:03:43Z</dcterms:modified>
</cp:coreProperties>
</file>